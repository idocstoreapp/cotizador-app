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featurePropertyBag/featurePropertyBag.xml" ContentType="application/vnd.ms-excel.featurepropertyba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3_ncr:1_{CF914D2B-16D1-4979-8AD5-5C4339A66D1B}" xr6:coauthVersionLast="47" xr6:coauthVersionMax="47" xr10:uidLastSave="{00000000-0000-0000-0000-000000000000}"/>
  <bookViews>
    <workbookView xWindow="-96" yWindow="-96" windowWidth="23232" windowHeight="13992" activeTab="5" xr2:uid="{00000000-000D-0000-FFFF-FFFF00000000}"/>
  </bookViews>
  <sheets>
    <sheet name="Información" sheetId="1" r:id="rId1"/>
    <sheet name="Materiales" sheetId="2" r:id="rId2"/>
    <sheet name="Mano de Obra" sheetId="3" r:id="rId3"/>
    <sheet name="Costos" sheetId="5" r:id="rId4"/>
    <sheet name="Ganancia" sheetId="6" r:id="rId5"/>
    <sheet name="Resumen" sheetId="7" r:id="rId6"/>
    <sheet name="Menús" sheetId="8" r:id="rId7"/>
    <sheet name="Info" sheetId="10" state="hidden" r:id="rId8"/>
  </sheets>
  <definedNames>
    <definedName name="_xlnm.Print_Area" localSheetId="1">Materiales!$A$1:$J$26</definedName>
    <definedName name="_xlnm.Print_Area" localSheetId="5">Resumen!$C$9:$J$66</definedName>
    <definedName name="Base_Material">Materiales!$C$20:$G$20</definedName>
    <definedName name="Base_Mats">Resumen!$E$32</definedName>
    <definedName name="Celda_CyM">Materiales!$C$9</definedName>
    <definedName name="Mensaje_Mats">Info!$B$19</definedName>
    <definedName name="Menu_Cat_Mat">T_Materiales[Categoría - Material]</definedName>
    <definedName name="Menu_Categoria">T_Categorias[Categorías]</definedName>
    <definedName name="Menu_Materiales">_xlfn._xlws.FILTER(T_Materiales[Material],T_Materiales[Categoría]=OFFSET(Materiales!XFD1,,-1),"")</definedName>
    <definedName name="Menu_T_Mueble">T_Mueble[Tipo de Mueble]</definedName>
    <definedName name="Menu_Unidades">T_Unidades[Unidades]</definedName>
    <definedName name="Mrgn">Ganancia!$E$11</definedName>
    <definedName name="Res_Alquiler">Resumen!$E$49</definedName>
    <definedName name="Res_Caja">Resumen!$E$50</definedName>
    <definedName name="Res_Herramientas">Resumen!$E$48</definedName>
    <definedName name="Res_Transporte">Resumen!$E$47</definedName>
    <definedName name="Sub_Materiales">Resumen!$I$32</definedName>
    <definedName name="Superior_Mats">Resumen!$E$21</definedName>
    <definedName name="Total_Material">Resumen!$I$21</definedName>
    <definedName name="Ult_Fila">Materiales!$A$26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32" i="7" l="1"/>
  <c r="G19" i="2"/>
  <c r="G18" i="2"/>
  <c r="G17" i="2"/>
  <c r="G16" i="2"/>
  <c r="H24" i="8"/>
  <c r="H25" i="8"/>
  <c r="H26" i="8"/>
  <c r="H27" i="8"/>
  <c r="H28" i="8"/>
  <c r="H29" i="8"/>
  <c r="H30" i="8"/>
  <c r="H31" i="8"/>
  <c r="H32" i="8"/>
  <c r="H19" i="8"/>
  <c r="H20" i="8"/>
  <c r="H21" i="8"/>
  <c r="H22" i="8"/>
  <c r="H23" i="8"/>
  <c r="G15" i="2" l="1"/>
  <c r="G14" i="2"/>
  <c r="G13" i="2"/>
  <c r="G12" i="2"/>
  <c r="G11" i="2"/>
  <c r="G10" i="2"/>
  <c r="K2" i="7"/>
  <c r="L2" i="6"/>
  <c r="K2" i="5"/>
  <c r="J2" i="3"/>
  <c r="H2" i="2"/>
  <c r="H62" i="7"/>
  <c r="I16" i="6"/>
  <c r="E55" i="7"/>
  <c r="H16" i="5"/>
  <c r="E16" i="7"/>
  <c r="E15" i="7"/>
  <c r="I50" i="7" a="1"/>
  <c r="I50" i="7" s="1"/>
  <c r="I49" i="7" a="1"/>
  <c r="I49" i="7" s="1"/>
  <c r="I48" i="7" a="1"/>
  <c r="I48" i="7" s="1"/>
  <c r="I47" i="7" a="1"/>
  <c r="I47" i="7" s="1"/>
  <c r="E51" i="7"/>
  <c r="F40" i="7"/>
  <c r="F39" i="7"/>
  <c r="G16" i="7" a="1"/>
  <c r="G16" i="7" s="1"/>
  <c r="G15" i="7"/>
  <c r="D16" i="7"/>
  <c r="D15" i="7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I10" i="7"/>
  <c r="D11" i="7"/>
  <c r="G8" i="10"/>
  <c r="F8" i="10"/>
  <c r="E8" i="10"/>
  <c r="D8" i="10"/>
  <c r="C8" i="10"/>
  <c r="B8" i="10"/>
  <c r="C16" i="10"/>
  <c r="B16" i="10"/>
  <c r="J17" i="6"/>
  <c r="I63" i="7" s="1"/>
  <c r="K12" i="10"/>
  <c r="J12" i="10"/>
  <c r="I19" i="5"/>
  <c r="E12" i="10"/>
  <c r="D12" i="10"/>
  <c r="C12" i="10"/>
  <c r="B12" i="10"/>
  <c r="F4" i="10"/>
  <c r="E4" i="10"/>
  <c r="D4" i="10"/>
  <c r="C4" i="10"/>
  <c r="B4" i="10"/>
  <c r="H20" i="5"/>
  <c r="G19" i="3"/>
  <c r="I40" i="7" s="1"/>
  <c r="G18" i="3"/>
  <c r="G20" i="3" l="1"/>
  <c r="J13" i="6" s="1"/>
  <c r="G21" i="2"/>
  <c r="J12" i="6" s="1"/>
  <c r="I39" i="7"/>
  <c r="I41" i="7" s="1"/>
  <c r="I14" i="5" l="1"/>
  <c r="I13" i="5"/>
  <c r="I15" i="5" l="1"/>
  <c r="I16" i="5" s="1"/>
  <c r="I20" i="5" s="1"/>
  <c r="I21" i="5" s="1"/>
  <c r="J14" i="6" s="1"/>
  <c r="J15" i="6" s="1"/>
  <c r="J16" i="6" s="1"/>
  <c r="I62" i="7" s="1"/>
  <c r="J18" i="6" l="1"/>
  <c r="I51" i="7"/>
  <c r="I52" i="7" s="1"/>
  <c r="I61" i="7" s="1"/>
  <c r="I64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<sst xmlns="http://schemas.openxmlformats.org/spreadsheetml/2006/main" count="253" uniqueCount="168">
  <si>
    <t>Nombre del Proyecto</t>
  </si>
  <si>
    <t>Nombre del Cliente</t>
  </si>
  <si>
    <t>Tipo de Mueble</t>
  </si>
  <si>
    <t>Fecha</t>
  </si>
  <si>
    <t>Cómoda</t>
  </si>
  <si>
    <t>Ubicación</t>
  </si>
  <si>
    <t>UNIDAD</t>
  </si>
  <si>
    <t>CANTIDAD</t>
  </si>
  <si>
    <t>TOTAL</t>
  </si>
  <si>
    <t>Subtotal Materiales</t>
  </si>
  <si>
    <t>Tiempos de Trabajo</t>
  </si>
  <si>
    <t>Costos por Tiempo</t>
  </si>
  <si>
    <t>Toma de medidas (horas)</t>
  </si>
  <si>
    <t>Costo por hora</t>
  </si>
  <si>
    <t>$</t>
  </si>
  <si>
    <t>Diseño (horas)</t>
  </si>
  <si>
    <t>Costo por día</t>
  </si>
  <si>
    <t>Armado (días)</t>
  </si>
  <si>
    <t>Costo por horas:</t>
  </si>
  <si>
    <t>Costo por días:</t>
  </si>
  <si>
    <t>Instalación (días)</t>
  </si>
  <si>
    <t>Total Mano de Obra:</t>
  </si>
  <si>
    <t>Gastos Adicionales</t>
  </si>
  <si>
    <t>Gastos Extras</t>
  </si>
  <si>
    <t>Transporte</t>
  </si>
  <si>
    <t>Porcentaje de gastos extras</t>
  </si>
  <si>
    <t>Herramientas (desgaste)</t>
  </si>
  <si>
    <t>Alquiler de espacio</t>
  </si>
  <si>
    <t>Caja chica</t>
  </si>
  <si>
    <t>Gastos seleccionados:</t>
  </si>
  <si>
    <t>Total Costos Indirectos:</t>
  </si>
  <si>
    <t>Resumen de Costos</t>
  </si>
  <si>
    <t>Materiales:</t>
  </si>
  <si>
    <t>Mano de obra:</t>
  </si>
  <si>
    <t>Costos indirectos:</t>
  </si>
  <si>
    <t>Costo Total:</t>
  </si>
  <si>
    <t>Ajuste manual:</t>
  </si>
  <si>
    <t>PRECIO FINAL</t>
  </si>
  <si>
    <t>Cocina</t>
  </si>
  <si>
    <t>Clóset</t>
  </si>
  <si>
    <t>Escritorio</t>
  </si>
  <si>
    <t>Biblioteca</t>
  </si>
  <si>
    <t>Otro</t>
  </si>
  <si>
    <t>INFORMACIÓN EN TIEMPO REAL</t>
  </si>
  <si>
    <t>%</t>
  </si>
  <si>
    <t>N_Proyecto</t>
  </si>
  <si>
    <t>N_Cliente</t>
  </si>
  <si>
    <t>T_Mueble</t>
  </si>
  <si>
    <t>C_Aporta</t>
  </si>
  <si>
    <t>Incluir_inst</t>
  </si>
  <si>
    <t>COSTOS EN TIEMPO REAL</t>
  </si>
  <si>
    <t>C_Transporte</t>
  </si>
  <si>
    <t>C_Herramientas</t>
  </si>
  <si>
    <t>C_Alquiler</t>
  </si>
  <si>
    <t>C_Caja</t>
  </si>
  <si>
    <t>Ch_Transporte</t>
  </si>
  <si>
    <t>Ch_Herramientas</t>
  </si>
  <si>
    <t>Ch_Alquiler</t>
  </si>
  <si>
    <t>Ch_Caja</t>
  </si>
  <si>
    <t>Porc_Extra</t>
  </si>
  <si>
    <t>Comentarios</t>
  </si>
  <si>
    <t>Ajuste manual del precio final</t>
  </si>
  <si>
    <t>Ajuste positivo o negativo al precio final calculado</t>
  </si>
  <si>
    <t>GANANCIA EN TIEMPO REAL</t>
  </si>
  <si>
    <t>Margen</t>
  </si>
  <si>
    <t>Ajuste</t>
  </si>
  <si>
    <t>MANO DE OBRA EN TIEMPO REAL</t>
  </si>
  <si>
    <t>Medidas</t>
  </si>
  <si>
    <t>Diseño</t>
  </si>
  <si>
    <t>Armado</t>
  </si>
  <si>
    <t>Instalacion</t>
  </si>
  <si>
    <t>Costo_hora</t>
  </si>
  <si>
    <t>Costo_día</t>
  </si>
  <si>
    <t>Categoria</t>
  </si>
  <si>
    <t>Material</t>
  </si>
  <si>
    <t>Unidad</t>
  </si>
  <si>
    <t>P_Unitario</t>
  </si>
  <si>
    <t>Cantidad</t>
  </si>
  <si>
    <t>Total</t>
  </si>
  <si>
    <t>Acciones</t>
  </si>
  <si>
    <t>MATERIALES EN TIEMPO REAL</t>
  </si>
  <si>
    <t>Categoría</t>
  </si>
  <si>
    <t>Melamina</t>
  </si>
  <si>
    <t>Herrajes</t>
  </si>
  <si>
    <t>Acabados</t>
  </si>
  <si>
    <t>Otros</t>
  </si>
  <si>
    <t>M2</t>
  </si>
  <si>
    <t>Categorías</t>
  </si>
  <si>
    <t>Unidades</t>
  </si>
  <si>
    <t>Metro</t>
  </si>
  <si>
    <t>Melamina blanca 18 mm</t>
  </si>
  <si>
    <t>Melamina nogal 18 mm</t>
  </si>
  <si>
    <t>Melamina roble 18 mm</t>
  </si>
  <si>
    <t>Melamina negra 18 mm</t>
  </si>
  <si>
    <t>Bisagras</t>
  </si>
  <si>
    <t>Tiradores</t>
  </si>
  <si>
    <t>Correderas</t>
  </si>
  <si>
    <t>Sellador</t>
  </si>
  <si>
    <t>Barniz</t>
  </si>
  <si>
    <t>Pintura</t>
  </si>
  <si>
    <t>Tapacantos</t>
  </si>
  <si>
    <t>Vidrio</t>
  </si>
  <si>
    <t>Espejo</t>
  </si>
  <si>
    <t>Iluminación LED</t>
  </si>
  <si>
    <t>Adhesivo</t>
  </si>
  <si>
    <t>Cotización de Mueble</t>
  </si>
  <si>
    <t>LISTA DE CATEGORÍAS</t>
  </si>
  <si>
    <t>LISTA DE UNIDADES</t>
  </si>
  <si>
    <t>CATEGORÍA Y MATERIAL</t>
  </si>
  <si>
    <t>Categoría - Material</t>
  </si>
  <si>
    <t>LISTA DE CATEGORÍAS Y MATERIALES</t>
  </si>
  <si>
    <t>Cotización:</t>
  </si>
  <si>
    <t>Información del Cliente</t>
  </si>
  <si>
    <t>Detalles del Proyecto</t>
  </si>
  <si>
    <t>Materiales</t>
  </si>
  <si>
    <t>Mano de Obra</t>
  </si>
  <si>
    <t>Costos Indirectos</t>
  </si>
  <si>
    <t>Observaciones y Condiciones</t>
  </si>
  <si>
    <t>Concepto</t>
  </si>
  <si>
    <t>Costo</t>
  </si>
  <si>
    <t>Tiempo</t>
  </si>
  <si>
    <t>Toma de medidas y diseño</t>
  </si>
  <si>
    <t>Armado e instalación</t>
  </si>
  <si>
    <t>PRECIO</t>
  </si>
  <si>
    <t>Subtotal Mano de Obra:</t>
  </si>
  <si>
    <t>Otros Comentarios</t>
  </si>
  <si>
    <t>Gastos totales</t>
  </si>
  <si>
    <t>Subtotal Costos Indirectos:</t>
  </si>
  <si>
    <t>LISTA DE TIPO DE MUEBLE</t>
  </si>
  <si>
    <t>MENSAJE MATERIALES</t>
  </si>
  <si>
    <t>Categoría y Material</t>
  </si>
  <si>
    <t>Precio</t>
  </si>
  <si>
    <t>- Precios válidos por 15 días.</t>
  </si>
  <si>
    <t>- 50% de anticipo para iniciar el trabajo.</t>
  </si>
  <si>
    <t>- Garantía de 1 año en materiales y mano de obra.</t>
  </si>
  <si>
    <t>Subtotal Materiales:</t>
  </si>
  <si>
    <t>Margen de utilidad:</t>
  </si>
  <si>
    <t>Ajuste de Utilidad</t>
  </si>
  <si>
    <t>Melamina - Melamina roble 18 mm</t>
  </si>
  <si>
    <t>Herrajes - Bisagras</t>
  </si>
  <si>
    <t>Herrajes - Correderas</t>
  </si>
  <si>
    <t>Acabados - Tapacantos</t>
  </si>
  <si>
    <t>Melamina - Melamina blanca 18 mm</t>
  </si>
  <si>
    <t>Cubiertas</t>
  </si>
  <si>
    <t xml:space="preserve">Blanco Galaxy </t>
  </si>
  <si>
    <t>- Tiempo de entrega de 25 días hábiles.</t>
  </si>
  <si>
    <t>PRECIO FINAL NETO:</t>
  </si>
  <si>
    <t>Ensamble</t>
  </si>
  <si>
    <t xml:space="preserve">Tornillos </t>
  </si>
  <si>
    <t xml:space="preserve">Ensamble - Tornillos </t>
  </si>
  <si>
    <t>Accesorios</t>
  </si>
  <si>
    <t>Basurero En Cubierta</t>
  </si>
  <si>
    <t>BRAZO ELEVABLE SALICE</t>
  </si>
  <si>
    <t>MDF 18</t>
  </si>
  <si>
    <t>Melise M2</t>
  </si>
  <si>
    <t>Palillaje Acústico Intensity MDF+PET Beige Natural 285x2400x21</t>
  </si>
  <si>
    <t>Soporte repisa invisible 121mm 4und</t>
  </si>
  <si>
    <t xml:space="preserve">trabajo patas de hierro </t>
  </si>
  <si>
    <t>Felipe Acorssi</t>
  </si>
  <si>
    <t>la cascada 81 Barrio Laduna,Colina, santiago</t>
  </si>
  <si>
    <t>Rodrigo Barria, Palillaje, escritorio ,arturito, archivador abierto</t>
  </si>
  <si>
    <t>Tirador</t>
  </si>
  <si>
    <t>Asa Corrida Negro 3Mt + 3 Par Tapas Terminales Asa 411 Negro</t>
  </si>
  <si>
    <t>Tirador - Asa Corrida Negro 3Mt + 3 Par Tapas Terminales Asa 411 Negro</t>
  </si>
  <si>
    <t>PISTÓN A GAS CIERRE SUAVE</t>
  </si>
  <si>
    <t>Herrajes - PISTÓN A GAS CIERRE SUAVE</t>
  </si>
  <si>
    <t xml:space="preserve">Barra ovalada </t>
  </si>
  <si>
    <t xml:space="preserve">Herrajes - Barra ovalada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</si>
</sst>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.00_-;\-&quot;$&quot;* #,##0.00_-;_-&quot;$&quot;* &quot;-&quot;??_-;_-@_-"/>
    <numFmt numFmtId="165" formatCode="dd\-mmm\-yyyy"/>
  </numFmts>
  <fonts count="32">
    <font>
      <sz val="11"/>
      <color theme="1"/>
      <name val="Aptos Narrow"/>
      <family val="2"/>
      <scheme val="minor"/>
    </font>
    <font>
      <sz val="10"/>
      <color theme="1" tint="0.249977111117893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sz val="9.4"/>
      <color theme="1" tint="0.34998626667073579"/>
      <name val="Aptos Narrow"/>
      <family val="2"/>
      <scheme val="minor"/>
    </font>
    <font>
      <sz val="10.5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5"/>
      <name val="Aptos Narrow"/>
      <family val="2"/>
      <scheme val="minor"/>
    </font>
    <font>
      <b/>
      <sz val="10"/>
      <color theme="2" tint="-0.749992370372631"/>
      <name val="Aptos Narrow"/>
      <family val="2"/>
      <scheme val="minor"/>
    </font>
    <font>
      <b/>
      <sz val="10"/>
      <color theme="1" tint="0.249977111117893"/>
      <name val="Aptos Narrow"/>
      <family val="2"/>
      <scheme val="minor"/>
    </font>
    <font>
      <b/>
      <sz val="11"/>
      <color theme="1" tint="0.249977111117893"/>
      <name val="Aptos Narrow"/>
      <family val="2"/>
      <scheme val="minor"/>
    </font>
    <font>
      <sz val="11"/>
      <color theme="1" tint="0.249977111117893"/>
      <name val="Aptos Narrow"/>
      <family val="2"/>
      <scheme val="minor"/>
    </font>
    <font>
      <b/>
      <sz val="10.5"/>
      <color theme="1" tint="0.34998626667073579"/>
      <name val="Aptos Narrow"/>
      <family val="2"/>
      <scheme val="minor"/>
    </font>
    <font>
      <sz val="10.5"/>
      <color theme="1" tint="0.249977111117893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8"/>
      <color theme="2" tint="-0.249977111117893"/>
      <name val="Aptos Narrow"/>
      <family val="2"/>
      <scheme val="minor"/>
    </font>
    <font>
      <b/>
      <sz val="9"/>
      <color theme="0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12"/>
      <color theme="1" tint="0.249977111117893"/>
      <name val="Aptos Narrow"/>
      <family val="2"/>
      <scheme val="minor"/>
    </font>
    <font>
      <b/>
      <sz val="12"/>
      <color rgb="FF0070C0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0"/>
      <color theme="0"/>
      <name val="Aptos Narrow"/>
      <family val="2"/>
      <scheme val="minor"/>
    </font>
    <font>
      <b/>
      <sz val="11"/>
      <color rgb="FF002060"/>
      <name val="Aptos Narrow"/>
      <family val="2"/>
      <scheme val="minor"/>
    </font>
    <font>
      <b/>
      <sz val="11.5"/>
      <color rgb="FF002060"/>
      <name val="Aptos Narrow"/>
      <family val="2"/>
      <scheme val="minor"/>
    </font>
    <font>
      <sz val="10"/>
      <name val="Aptos Narrow"/>
      <family val="2"/>
      <scheme val="minor"/>
    </font>
    <font>
      <i/>
      <sz val="9"/>
      <color theme="2" tint="-0.499984740745262"/>
      <name val="Aptos Narrow"/>
      <family val="2"/>
      <scheme val="minor"/>
    </font>
    <font>
      <sz val="9.5"/>
      <color theme="1" tint="0.249977111117893"/>
      <name val="Aptos Narrow"/>
      <family val="2"/>
      <scheme val="minor"/>
    </font>
    <font>
      <b/>
      <sz val="14"/>
      <color rgb="FF002060"/>
      <name val="Aptos Narrow"/>
      <family val="2"/>
      <scheme val="minor"/>
    </font>
    <font>
      <b/>
      <u/>
      <sz val="10"/>
      <color rgb="FF002060"/>
      <name val="Aptos Narrow"/>
      <family val="2"/>
      <scheme val="minor"/>
    </font>
    <font>
      <b/>
      <sz val="7"/>
      <color rgb="FF000000"/>
      <name val="Moderat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7"/>
        <bgColor theme="7"/>
      </patternFill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</fills>
  <borders count="46">
    <border>
      <left/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/>
      <diagonal/>
    </border>
    <border>
      <left/>
      <right/>
      <top style="thin">
        <color theme="2" tint="-9.9978637043366805E-2"/>
      </top>
      <bottom/>
      <diagonal/>
    </border>
    <border>
      <left/>
      <right style="thin">
        <color theme="2" tint="-9.9978637043366805E-2"/>
      </right>
      <top style="thin">
        <color theme="2" tint="-9.9978637043366805E-2"/>
      </top>
      <bottom/>
      <diagonal/>
    </border>
    <border>
      <left style="thin">
        <color theme="2" tint="-9.9978637043366805E-2"/>
      </left>
      <right/>
      <top/>
      <bottom/>
      <diagonal/>
    </border>
    <border>
      <left/>
      <right style="thin">
        <color theme="2" tint="-9.9978637043366805E-2"/>
      </right>
      <top/>
      <bottom/>
      <diagonal/>
    </border>
    <border>
      <left style="thin">
        <color theme="2" tint="-9.9978637043366805E-2"/>
      </left>
      <right/>
      <top/>
      <bottom style="thin">
        <color theme="2" tint="-9.9978637043366805E-2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14999847407452621"/>
      </top>
      <bottom/>
      <diagonal/>
    </border>
    <border>
      <left/>
      <right/>
      <top/>
      <bottom style="thin">
        <color theme="0" tint="-0.14999847407452621"/>
      </bottom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/>
      <right style="thin">
        <color theme="7"/>
      </right>
      <top/>
      <bottom/>
      <diagonal/>
    </border>
    <border>
      <left style="thin">
        <color theme="7"/>
      </left>
      <right/>
      <top/>
      <bottom/>
      <diagonal/>
    </border>
    <border>
      <left style="thin">
        <color theme="7"/>
      </left>
      <right style="thin">
        <color theme="7"/>
      </right>
      <top/>
      <bottom/>
      <diagonal/>
    </border>
    <border>
      <left style="thin">
        <color theme="2" tint="-0.24994659260841701"/>
      </left>
      <right/>
      <top style="thin">
        <color theme="2" tint="-0.24994659260841701"/>
      </top>
      <bottom/>
      <diagonal/>
    </border>
    <border>
      <left/>
      <right/>
      <top style="thin">
        <color theme="2" tint="-0.24994659260841701"/>
      </top>
      <bottom/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/>
      <top/>
      <bottom/>
      <diagonal/>
    </border>
    <border>
      <left/>
      <right style="thin">
        <color theme="2" tint="-0.24994659260841701"/>
      </right>
      <top/>
      <bottom/>
      <diagonal/>
    </border>
    <border>
      <left style="thin">
        <color theme="2" tint="-0.24994659260841701"/>
      </left>
      <right/>
      <top/>
      <bottom style="thin">
        <color theme="2" tint="-0.24994659260841701"/>
      </bottom>
      <diagonal/>
    </border>
    <border>
      <left/>
      <right/>
      <top/>
      <bottom style="thin">
        <color theme="2" tint="-0.24994659260841701"/>
      </bottom>
      <diagonal/>
    </border>
    <border>
      <left/>
      <right style="thin">
        <color theme="2" tint="-0.24994659260841701"/>
      </right>
      <top/>
      <bottom style="thin">
        <color theme="2" tint="-0.24994659260841701"/>
      </bottom>
      <diagonal/>
    </border>
    <border>
      <left/>
      <right style="thick">
        <color theme="0"/>
      </right>
      <top/>
      <bottom style="thin">
        <color theme="0" tint="-0.14999847407452621"/>
      </bottom>
      <diagonal/>
    </border>
    <border>
      <left style="thick">
        <color theme="0"/>
      </left>
      <right/>
      <top/>
      <bottom style="thin">
        <color theme="0" tint="-0.14999847407452621"/>
      </bottom>
      <diagonal/>
    </border>
    <border>
      <left/>
      <right/>
      <top/>
      <bottom style="dashed">
        <color theme="2" tint="-0.24994659260841701"/>
      </bottom>
      <diagonal/>
    </border>
    <border>
      <left style="thick">
        <color theme="0"/>
      </left>
      <right style="thick">
        <color theme="0"/>
      </right>
      <top/>
      <bottom style="thin">
        <color theme="0" tint="-0.149967955565050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</borders>
  <cellStyleXfs count="6">
    <xf numFmtId="0" fontId="0" fillId="0" borderId="0"/>
    <xf numFmtId="164" fontId="5" fillId="0" borderId="0" applyFont="0" applyFill="0" applyBorder="0" applyAlignment="0" applyProtection="0"/>
    <xf numFmtId="0" fontId="1" fillId="4" borderId="0" applyNumberFormat="0" applyFont="0" applyBorder="0" applyAlignment="0" applyProtection="0"/>
    <xf numFmtId="0" fontId="3" fillId="2" borderId="0"/>
    <xf numFmtId="0" fontId="4" fillId="0" borderId="9">
      <protection locked="0"/>
    </xf>
    <xf numFmtId="9" fontId="5" fillId="0" borderId="0" applyFont="0" applyFill="0" applyBorder="0" applyAlignment="0" applyProtection="0"/>
  </cellStyleXfs>
  <cellXfs count="200">
    <xf numFmtId="0" fontId="0" fillId="0" borderId="0" xfId="0"/>
    <xf numFmtId="0" fontId="1" fillId="0" borderId="0" xfId="0" applyFont="1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14" fontId="1" fillId="0" borderId="0" xfId="0" applyNumberFormat="1" applyFont="1"/>
    <xf numFmtId="0" fontId="1" fillId="2" borderId="4" xfId="0" applyFont="1" applyFill="1" applyBorder="1"/>
    <xf numFmtId="0" fontId="2" fillId="2" borderId="0" xfId="0" applyFont="1" applyFill="1"/>
    <xf numFmtId="0" fontId="1" fillId="2" borderId="0" xfId="0" applyFont="1" applyFill="1"/>
    <xf numFmtId="0" fontId="1" fillId="2" borderId="5" xfId="0" applyFont="1" applyFill="1" applyBorder="1"/>
    <xf numFmtId="0" fontId="3" fillId="2" borderId="0" xfId="0" applyFont="1" applyFill="1"/>
    <xf numFmtId="0" fontId="1" fillId="0" borderId="4" xfId="0" applyFont="1" applyBorder="1"/>
    <xf numFmtId="0" fontId="1" fillId="0" borderId="0" xfId="0" applyFont="1"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0" borderId="6" xfId="0" applyFont="1" applyBorder="1"/>
    <xf numFmtId="0" fontId="1" fillId="0" borderId="7" xfId="0" applyFont="1" applyBorder="1"/>
    <xf numFmtId="0" fontId="1" fillId="2" borderId="8" xfId="0" applyFont="1" applyFill="1" applyBorder="1"/>
    <xf numFmtId="0" fontId="1" fillId="3" borderId="0" xfId="0" applyFont="1" applyFill="1"/>
    <xf numFmtId="0" fontId="1" fillId="4" borderId="0" xfId="2" applyFont="1"/>
    <xf numFmtId="0" fontId="3" fillId="2" borderId="0" xfId="3"/>
    <xf numFmtId="0" fontId="0" fillId="4" borderId="0" xfId="2" applyFont="1"/>
    <xf numFmtId="0" fontId="6" fillId="2" borderId="0" xfId="0" applyFont="1" applyFill="1"/>
    <xf numFmtId="0" fontId="1" fillId="2" borderId="5" xfId="0" applyFont="1" applyFill="1" applyBorder="1" applyAlignment="1">
      <alignment horizontal="center"/>
    </xf>
    <xf numFmtId="0" fontId="7" fillId="5" borderId="10" xfId="0" applyFont="1" applyFill="1" applyBorder="1" applyAlignment="1">
      <alignment horizontal="center"/>
    </xf>
    <xf numFmtId="0" fontId="1" fillId="5" borderId="0" xfId="0" applyFont="1" applyFill="1"/>
    <xf numFmtId="0" fontId="9" fillId="5" borderId="0" xfId="0" applyFont="1" applyFill="1" applyAlignment="1">
      <alignment horizontal="right"/>
    </xf>
    <xf numFmtId="164" fontId="9" fillId="5" borderId="0" xfId="1" applyFont="1" applyFill="1" applyBorder="1"/>
    <xf numFmtId="0" fontId="11" fillId="2" borderId="0" xfId="0" applyFont="1" applyFill="1"/>
    <xf numFmtId="0" fontId="1" fillId="4" borderId="0" xfId="0" applyFont="1" applyFill="1"/>
    <xf numFmtId="0" fontId="1" fillId="4" borderId="0" xfId="0" applyFont="1" applyFill="1">
      <extLst>
        <ext xmlns:xfpb="http://schemas.microsoft.com/office/spreadsheetml/2022/featurepropertybag" uri="{C7286773-470A-42A8-94C5-96B5CB345126}">
          <xfpb:xfComplement i="0"/>
        </ext>
      </extLst>
    </xf>
    <xf numFmtId="164" fontId="1" fillId="4" borderId="0" xfId="1" applyFont="1" applyFill="1"/>
    <xf numFmtId="164" fontId="8" fillId="4" borderId="0" xfId="1" applyFont="1" applyFill="1"/>
    <xf numFmtId="164" fontId="9" fillId="4" borderId="0" xfId="1" applyFont="1" applyFill="1"/>
    <xf numFmtId="0" fontId="9" fillId="4" borderId="0" xfId="0" applyFont="1" applyFill="1" applyAlignment="1">
      <alignment horizontal="left" indent="1"/>
    </xf>
    <xf numFmtId="0" fontId="12" fillId="4" borderId="0" xfId="0" applyFont="1" applyFill="1" applyAlignment="1">
      <alignment horizontal="left" indent="1"/>
    </xf>
    <xf numFmtId="0" fontId="1" fillId="0" borderId="0" xfId="0" applyFont="1" applyAlignment="1">
      <alignment horizontal="left" vertical="center" indent="3"/>
    </xf>
    <xf numFmtId="0" fontId="4" fillId="0" borderId="9" xfId="0" applyFont="1" applyBorder="1" applyAlignment="1" applyProtection="1">
      <alignment horizontal="left" indent="1"/>
      <protection locked="0"/>
    </xf>
    <xf numFmtId="0" fontId="4" fillId="0" borderId="9" xfId="4" applyAlignment="1">
      <alignment horizontal="left" indent="1"/>
      <protection locked="0"/>
    </xf>
    <xf numFmtId="0" fontId="1" fillId="0" borderId="0" xfId="0" applyFont="1" applyAlignment="1">
      <alignment horizontal="center"/>
    </xf>
    <xf numFmtId="0" fontId="12" fillId="4" borderId="0" xfId="0" applyFont="1" applyFill="1" applyAlignment="1">
      <alignment horizontal="left"/>
    </xf>
    <xf numFmtId="0" fontId="9" fillId="4" borderId="0" xfId="0" applyFont="1" applyFill="1" applyAlignment="1">
      <alignment horizontal="left"/>
    </xf>
    <xf numFmtId="165" fontId="4" fillId="0" borderId="9" xfId="4" applyNumberFormat="1" applyAlignment="1">
      <alignment horizontal="left" indent="1"/>
      <protection locked="0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15" fillId="0" borderId="0" xfId="0" applyFont="1"/>
    <xf numFmtId="15" fontId="14" fillId="0" borderId="0" xfId="0" applyNumberFormat="1" applyFont="1" applyAlignment="1">
      <alignment horizontal="center"/>
    </xf>
    <xf numFmtId="4" fontId="14" fillId="0" borderId="0" xfId="0" applyNumberFormat="1" applyFont="1"/>
    <xf numFmtId="0" fontId="12" fillId="4" borderId="17" xfId="0" applyFont="1" applyFill="1" applyBorder="1" applyAlignment="1">
      <alignment horizontal="left"/>
    </xf>
    <xf numFmtId="0" fontId="12" fillId="4" borderId="0" xfId="0" applyFont="1" applyFill="1" applyBorder="1" applyAlignment="1">
      <alignment horizontal="left"/>
    </xf>
    <xf numFmtId="164" fontId="1" fillId="4" borderId="0" xfId="1" applyFont="1" applyFill="1" applyBorder="1"/>
    <xf numFmtId="164" fontId="1" fillId="4" borderId="17" xfId="1" applyFont="1" applyFill="1" applyBorder="1"/>
    <xf numFmtId="0" fontId="1" fillId="0" borderId="0" xfId="0" applyFont="1" applyAlignment="1">
      <alignment horizontal="right"/>
    </xf>
    <xf numFmtId="0" fontId="4" fillId="0" borderId="9" xfId="4" applyAlignment="1">
      <alignment horizontal="left"/>
      <protection locked="0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indent="1"/>
    </xf>
    <xf numFmtId="0" fontId="16" fillId="0" borderId="0" xfId="0" applyFont="1" applyAlignment="1">
      <alignment horizontal="left" indent="1"/>
    </xf>
    <xf numFmtId="3" fontId="4" fillId="0" borderId="9" xfId="4" applyNumberFormat="1" applyAlignment="1">
      <alignment horizontal="left" indent="1"/>
      <protection locked="0"/>
    </xf>
    <xf numFmtId="3" fontId="1" fillId="0" borderId="0" xfId="0" applyNumberFormat="1" applyFont="1" applyAlignment="1">
      <alignment horizontal="left" indent="1"/>
    </xf>
    <xf numFmtId="3" fontId="4" fillId="0" borderId="9" xfId="5" applyNumberFormat="1" applyFont="1" applyBorder="1" applyAlignment="1" applyProtection="1">
      <alignment horizontal="left" indent="1"/>
      <protection locked="0"/>
    </xf>
    <xf numFmtId="3" fontId="14" fillId="0" borderId="0" xfId="0" applyNumberFormat="1" applyFont="1"/>
    <xf numFmtId="0" fontId="15" fillId="0" borderId="21" xfId="0" applyFont="1" applyBorder="1"/>
    <xf numFmtId="0" fontId="15" fillId="0" borderId="20" xfId="0" applyFont="1" applyBorder="1"/>
    <xf numFmtId="0" fontId="17" fillId="7" borderId="22" xfId="0" applyFont="1" applyFill="1" applyBorder="1"/>
    <xf numFmtId="0" fontId="17" fillId="7" borderId="23" xfId="0" applyFont="1" applyFill="1" applyBorder="1"/>
    <xf numFmtId="0" fontId="18" fillId="0" borderId="0" xfId="0" applyFont="1"/>
    <xf numFmtId="0" fontId="15" fillId="0" borderId="0" xfId="0" applyFont="1" applyBorder="1"/>
    <xf numFmtId="0" fontId="17" fillId="7" borderId="24" xfId="0" applyFont="1" applyFill="1" applyBorder="1"/>
    <xf numFmtId="0" fontId="1" fillId="0" borderId="25" xfId="0" applyFont="1" applyBorder="1"/>
    <xf numFmtId="0" fontId="1" fillId="0" borderId="26" xfId="0" applyFont="1" applyBorder="1"/>
    <xf numFmtId="0" fontId="1" fillId="0" borderId="27" xfId="0" applyFont="1" applyBorder="1"/>
    <xf numFmtId="0" fontId="1" fillId="0" borderId="28" xfId="0" applyFont="1" applyBorder="1"/>
    <xf numFmtId="0" fontId="1" fillId="0" borderId="0" xfId="0" applyFont="1" applyBorder="1"/>
    <xf numFmtId="0" fontId="1" fillId="0" borderId="29" xfId="0" applyFont="1" applyBorder="1"/>
    <xf numFmtId="0" fontId="1" fillId="0" borderId="30" xfId="0" applyFont="1" applyBorder="1"/>
    <xf numFmtId="0" fontId="1" fillId="0" borderId="31" xfId="0" applyFont="1" applyBorder="1"/>
    <xf numFmtId="0" fontId="1" fillId="0" borderId="32" xfId="0" applyFont="1" applyBorder="1"/>
    <xf numFmtId="0" fontId="19" fillId="0" borderId="0" xfId="0" applyFont="1" applyBorder="1"/>
    <xf numFmtId="0" fontId="1" fillId="4" borderId="0" xfId="0" applyFont="1" applyFill="1" applyBorder="1"/>
    <xf numFmtId="0" fontId="1" fillId="4" borderId="25" xfId="0" applyFont="1" applyFill="1" applyBorder="1"/>
    <xf numFmtId="0" fontId="1" fillId="4" borderId="26" xfId="0" applyFont="1" applyFill="1" applyBorder="1"/>
    <xf numFmtId="0" fontId="1" fillId="4" borderId="28" xfId="0" applyFont="1" applyFill="1" applyBorder="1"/>
    <xf numFmtId="0" fontId="19" fillId="4" borderId="0" xfId="0" applyFont="1" applyFill="1" applyBorder="1"/>
    <xf numFmtId="0" fontId="1" fillId="4" borderId="30" xfId="0" applyFont="1" applyFill="1" applyBorder="1"/>
    <xf numFmtId="0" fontId="1" fillId="4" borderId="31" xfId="0" applyFont="1" applyFill="1" applyBorder="1"/>
    <xf numFmtId="0" fontId="1" fillId="4" borderId="27" xfId="0" applyFont="1" applyFill="1" applyBorder="1"/>
    <xf numFmtId="0" fontId="1" fillId="4" borderId="29" xfId="0" applyFont="1" applyFill="1" applyBorder="1"/>
    <xf numFmtId="0" fontId="1" fillId="4" borderId="32" xfId="0" applyFont="1" applyFill="1" applyBorder="1"/>
    <xf numFmtId="0" fontId="1" fillId="4" borderId="0" xfId="0" applyFont="1" applyFill="1" applyBorder="1" applyAlignment="1">
      <alignment vertical="center"/>
    </xf>
    <xf numFmtId="0" fontId="9" fillId="4" borderId="0" xfId="0" applyFont="1" applyFill="1" applyBorder="1" applyAlignment="1">
      <alignment horizontal="right" vertical="center"/>
    </xf>
    <xf numFmtId="164" fontId="9" fillId="4" borderId="0" xfId="1" applyFont="1" applyFill="1" applyBorder="1" applyAlignment="1">
      <alignment vertical="center"/>
    </xf>
    <xf numFmtId="164" fontId="1" fillId="0" borderId="0" xfId="0" applyNumberFormat="1" applyFont="1" applyBorder="1"/>
    <xf numFmtId="164" fontId="10" fillId="2" borderId="29" xfId="0" applyNumberFormat="1" applyFont="1" applyFill="1" applyBorder="1"/>
    <xf numFmtId="0" fontId="7" fillId="5" borderId="33" xfId="0" applyFont="1" applyFill="1" applyBorder="1" applyAlignment="1">
      <alignment horizontal="center"/>
    </xf>
    <xf numFmtId="0" fontId="7" fillId="5" borderId="34" xfId="0" applyFont="1" applyFill="1" applyBorder="1" applyAlignment="1">
      <alignment horizontal="center"/>
    </xf>
    <xf numFmtId="2" fontId="4" fillId="0" borderId="9" xfId="4" applyNumberFormat="1" applyAlignment="1">
      <alignment horizontal="left"/>
      <protection locked="0"/>
    </xf>
    <xf numFmtId="0" fontId="1" fillId="0" borderId="0" xfId="0" applyFont="1" applyAlignment="1">
      <alignment horizontal="left" vertical="center" indent="2"/>
    </xf>
    <xf numFmtId="164" fontId="10" fillId="2" borderId="27" xfId="0" applyNumberFormat="1" applyFont="1" applyFill="1" applyBorder="1"/>
    <xf numFmtId="0" fontId="1" fillId="4" borderId="0" xfId="0" applyFont="1" applyFill="1" applyBorder="1" applyAlignment="1">
      <alignment horizontal="center" vertical="center"/>
    </xf>
    <xf numFmtId="0" fontId="10" fillId="2" borderId="26" xfId="0" applyFont="1" applyFill="1" applyBorder="1" applyAlignment="1">
      <alignment horizontal="right"/>
    </xf>
    <xf numFmtId="0" fontId="10" fillId="2" borderId="0" xfId="0" applyFont="1" applyFill="1" applyBorder="1" applyAlignment="1">
      <alignment horizontal="right"/>
    </xf>
    <xf numFmtId="0" fontId="9" fillId="4" borderId="0" xfId="0" applyFont="1" applyFill="1" applyBorder="1"/>
    <xf numFmtId="0" fontId="9" fillId="0" borderId="0" xfId="0" applyFont="1" applyBorder="1"/>
    <xf numFmtId="0" fontId="1" fillId="8" borderId="0" xfId="0" applyFont="1" applyFill="1" applyBorder="1"/>
    <xf numFmtId="0" fontId="21" fillId="8" borderId="0" xfId="0" applyFont="1" applyFill="1" applyBorder="1"/>
    <xf numFmtId="0" fontId="22" fillId="8" borderId="0" xfId="0" applyFont="1" applyFill="1" applyBorder="1"/>
    <xf numFmtId="0" fontId="2" fillId="0" borderId="0" xfId="0" applyFont="1" applyFill="1"/>
    <xf numFmtId="0" fontId="1" fillId="0" borderId="0" xfId="0" applyFont="1" applyFill="1"/>
    <xf numFmtId="0" fontId="24" fillId="6" borderId="0" xfId="0" applyFont="1" applyFill="1" applyAlignment="1">
      <alignment horizontal="left" vertical="center" indent="1"/>
    </xf>
    <xf numFmtId="164" fontId="24" fillId="6" borderId="0" xfId="1" applyFont="1" applyFill="1" applyAlignment="1">
      <alignment vertical="center"/>
    </xf>
    <xf numFmtId="0" fontId="25" fillId="2" borderId="31" xfId="0" applyFont="1" applyFill="1" applyBorder="1" applyAlignment="1">
      <alignment horizontal="right" vertical="top"/>
    </xf>
    <xf numFmtId="164" fontId="25" fillId="2" borderId="32" xfId="0" applyNumberFormat="1" applyFont="1" applyFill="1" applyBorder="1" applyAlignment="1">
      <alignment vertical="top"/>
    </xf>
    <xf numFmtId="0" fontId="1" fillId="9" borderId="25" xfId="0" applyFont="1" applyFill="1" applyBorder="1"/>
    <xf numFmtId="0" fontId="1" fillId="9" borderId="26" xfId="0" applyFont="1" applyFill="1" applyBorder="1"/>
    <xf numFmtId="0" fontId="1" fillId="9" borderId="27" xfId="0" applyFont="1" applyFill="1" applyBorder="1"/>
    <xf numFmtId="0" fontId="1" fillId="9" borderId="28" xfId="0" applyFont="1" applyFill="1" applyBorder="1"/>
    <xf numFmtId="0" fontId="9" fillId="9" borderId="0" xfId="0" applyFont="1" applyFill="1" applyBorder="1" applyAlignment="1">
      <alignment vertical="center"/>
    </xf>
    <xf numFmtId="0" fontId="10" fillId="9" borderId="0" xfId="0" applyFont="1" applyFill="1" applyBorder="1" applyAlignment="1">
      <alignment vertical="center"/>
    </xf>
    <xf numFmtId="0" fontId="1" fillId="9" borderId="0" xfId="0" applyFont="1" applyFill="1" applyBorder="1"/>
    <xf numFmtId="0" fontId="1" fillId="9" borderId="29" xfId="0" applyFont="1" applyFill="1" applyBorder="1"/>
    <xf numFmtId="0" fontId="10" fillId="9" borderId="0" xfId="0" applyFont="1" applyFill="1" applyBorder="1" applyAlignment="1">
      <alignment horizontal="left" vertical="center" indent="1"/>
    </xf>
    <xf numFmtId="0" fontId="1" fillId="9" borderId="0" xfId="0" applyFont="1" applyFill="1" applyBorder="1" applyAlignment="1">
      <alignment vertical="center"/>
    </xf>
    <xf numFmtId="0" fontId="1" fillId="9" borderId="0" xfId="0" applyFont="1" applyFill="1" applyBorder="1" applyAlignment="1">
      <alignment horizontal="left" vertical="center" indent="1"/>
    </xf>
    <xf numFmtId="0" fontId="12" fillId="9" borderId="0" xfId="0" applyFont="1" applyFill="1" applyBorder="1"/>
    <xf numFmtId="0" fontId="1" fillId="9" borderId="30" xfId="0" applyFont="1" applyFill="1" applyBorder="1"/>
    <xf numFmtId="0" fontId="1" fillId="9" borderId="31" xfId="0" applyFont="1" applyFill="1" applyBorder="1"/>
    <xf numFmtId="0" fontId="1" fillId="9" borderId="32" xfId="0" applyFont="1" applyFill="1" applyBorder="1"/>
    <xf numFmtId="0" fontId="9" fillId="9" borderId="0" xfId="0" applyFont="1" applyFill="1" applyBorder="1" applyAlignment="1">
      <alignment horizontal="center"/>
    </xf>
    <xf numFmtId="0" fontId="9" fillId="9" borderId="0" xfId="0" applyFont="1" applyFill="1" applyBorder="1"/>
    <xf numFmtId="0" fontId="27" fillId="0" borderId="0" xfId="0" applyFont="1" applyAlignment="1">
      <alignment horizontal="left" indent="1"/>
    </xf>
    <xf numFmtId="164" fontId="27" fillId="0" borderId="0" xfId="0" applyNumberFormat="1" applyFont="1"/>
    <xf numFmtId="0" fontId="27" fillId="0" borderId="35" xfId="0" applyFont="1" applyBorder="1" applyAlignment="1">
      <alignment horizontal="left" indent="1"/>
    </xf>
    <xf numFmtId="164" fontId="27" fillId="0" borderId="35" xfId="0" applyNumberFormat="1" applyFont="1" applyBorder="1"/>
    <xf numFmtId="0" fontId="27" fillId="0" borderId="0" xfId="0" applyFont="1" applyBorder="1" applyAlignment="1">
      <alignment horizontal="left" indent="1"/>
    </xf>
    <xf numFmtId="164" fontId="27" fillId="0" borderId="0" xfId="0" applyNumberFormat="1" applyFont="1" applyBorder="1"/>
    <xf numFmtId="0" fontId="11" fillId="8" borderId="25" xfId="0" applyFont="1" applyFill="1" applyBorder="1"/>
    <xf numFmtId="0" fontId="11" fillId="8" borderId="26" xfId="0" applyFont="1" applyFill="1" applyBorder="1"/>
    <xf numFmtId="0" fontId="1" fillId="8" borderId="26" xfId="0" applyFont="1" applyFill="1" applyBorder="1"/>
    <xf numFmtId="0" fontId="11" fillId="8" borderId="27" xfId="0" applyFont="1" applyFill="1" applyBorder="1"/>
    <xf numFmtId="0" fontId="1" fillId="8" borderId="28" xfId="0" applyFont="1" applyFill="1" applyBorder="1"/>
    <xf numFmtId="0" fontId="1" fillId="8" borderId="29" xfId="0" applyFont="1" applyFill="1" applyBorder="1"/>
    <xf numFmtId="0" fontId="1" fillId="8" borderId="30" xfId="0" applyFont="1" applyFill="1" applyBorder="1"/>
    <xf numFmtId="0" fontId="1" fillId="8" borderId="31" xfId="0" applyFont="1" applyFill="1" applyBorder="1"/>
    <xf numFmtId="0" fontId="1" fillId="8" borderId="32" xfId="0" applyFont="1" applyFill="1" applyBorder="1"/>
    <xf numFmtId="0" fontId="1" fillId="0" borderId="0" xfId="0" applyFont="1" applyBorder="1" applyAlignment="1">
      <alignment horizontal="left" indent="1"/>
    </xf>
    <xf numFmtId="0" fontId="1" fillId="0" borderId="0" xfId="0" applyFont="1" applyBorder="1" applyAlignment="1">
      <alignment horizontal="center"/>
    </xf>
    <xf numFmtId="164" fontId="1" fillId="0" borderId="0" xfId="1" applyFont="1" applyBorder="1"/>
    <xf numFmtId="9" fontId="4" fillId="0" borderId="0" xfId="5" applyFont="1" applyBorder="1" applyProtection="1"/>
    <xf numFmtId="0" fontId="1" fillId="4" borderId="0" xfId="2" applyFont="1" applyProtection="1">
      <protection locked="0"/>
    </xf>
    <xf numFmtId="0" fontId="1" fillId="0" borderId="4" xfId="0" applyFont="1" applyBorder="1" applyProtection="1">
      <protection locked="0"/>
    </xf>
    <xf numFmtId="0" fontId="1" fillId="2" borderId="5" xfId="0" applyFont="1" applyFill="1" applyBorder="1" applyProtection="1">
      <protection locked="0"/>
    </xf>
    <xf numFmtId="0" fontId="1" fillId="3" borderId="0" xfId="0" applyFont="1" applyFill="1" applyProtection="1">
      <protection locked="0"/>
    </xf>
    <xf numFmtId="0" fontId="26" fillId="0" borderId="9" xfId="4" applyFont="1" applyProtection="1">
      <protection locked="0"/>
    </xf>
    <xf numFmtId="0" fontId="26" fillId="0" borderId="9" xfId="4" applyFont="1" applyAlignment="1" applyProtection="1">
      <alignment horizontal="center"/>
      <protection locked="0"/>
    </xf>
    <xf numFmtId="164" fontId="26" fillId="4" borderId="9" xfId="4" applyNumberFormat="1" applyFont="1" applyFill="1" applyProtection="1">
      <protection locked="0"/>
    </xf>
    <xf numFmtId="0" fontId="1" fillId="0" borderId="0" xfId="0" applyFont="1" applyProtection="1">
      <protection locked="0"/>
    </xf>
    <xf numFmtId="0" fontId="7" fillId="5" borderId="36" xfId="0" applyFont="1" applyFill="1" applyBorder="1" applyAlignment="1">
      <alignment horizontal="center"/>
    </xf>
    <xf numFmtId="164" fontId="26" fillId="0" borderId="37" xfId="1" applyFont="1" applyBorder="1" applyProtection="1">
      <protection locked="0"/>
    </xf>
    <xf numFmtId="0" fontId="1" fillId="5" borderId="38" xfId="0" applyFont="1" applyFill="1" applyBorder="1"/>
    <xf numFmtId="164" fontId="26" fillId="0" borderId="39" xfId="1" applyFont="1" applyBorder="1" applyProtection="1">
      <protection locked="0"/>
    </xf>
    <xf numFmtId="0" fontId="1" fillId="0" borderId="28" xfId="0" applyFont="1" applyBorder="1" applyProtection="1">
      <protection locked="0"/>
    </xf>
    <xf numFmtId="0" fontId="1" fillId="0" borderId="0" xfId="0" applyFont="1" applyBorder="1" applyProtection="1">
      <protection locked="0"/>
    </xf>
    <xf numFmtId="0" fontId="1" fillId="0" borderId="0" xfId="0" applyFont="1" applyBorder="1" applyAlignment="1" applyProtection="1">
      <alignment horizontal="left" indent="1"/>
      <protection locked="0"/>
    </xf>
    <xf numFmtId="164" fontId="1" fillId="0" borderId="0" xfId="0" applyNumberFormat="1" applyFont="1" applyBorder="1" applyProtection="1">
      <protection locked="0"/>
    </xf>
    <xf numFmtId="0" fontId="1" fillId="0" borderId="29" xfId="0" applyFont="1" applyBorder="1" applyProtection="1">
      <protection locked="0"/>
    </xf>
    <xf numFmtId="0" fontId="28" fillId="4" borderId="0" xfId="0" applyFont="1" applyFill="1" applyBorder="1"/>
    <xf numFmtId="0" fontId="28" fillId="0" borderId="0" xfId="0" applyFont="1" applyBorder="1" applyProtection="1">
      <protection locked="0"/>
    </xf>
    <xf numFmtId="164" fontId="1" fillId="0" borderId="0" xfId="1" applyFont="1" applyBorder="1" applyProtection="1">
      <protection locked="0"/>
    </xf>
    <xf numFmtId="164" fontId="9" fillId="9" borderId="0" xfId="1" applyFont="1" applyFill="1" applyBorder="1" applyAlignment="1">
      <alignment horizontal="center"/>
    </xf>
    <xf numFmtId="164" fontId="1" fillId="3" borderId="0" xfId="0" applyNumberFormat="1" applyFont="1" applyFill="1"/>
    <xf numFmtId="164" fontId="9" fillId="4" borderId="0" xfId="1" applyFont="1" applyFill="1" applyBorder="1" applyAlignment="1" applyProtection="1">
      <alignment vertical="center"/>
      <protection locked="0"/>
    </xf>
    <xf numFmtId="0" fontId="4" fillId="0" borderId="11" xfId="4" applyBorder="1" applyAlignment="1">
      <alignment horizontal="justify" vertical="top" wrapText="1"/>
      <protection locked="0"/>
    </xf>
    <xf numFmtId="0" fontId="4" fillId="0" borderId="18" xfId="4" applyBorder="1" applyAlignment="1">
      <alignment horizontal="justify" vertical="top" wrapText="1"/>
      <protection locked="0"/>
    </xf>
    <xf numFmtId="14" fontId="4" fillId="0" borderId="9" xfId="4" applyNumberFormat="1" applyAlignment="1">
      <alignment horizontal="left" indent="1"/>
      <protection locked="0"/>
    </xf>
    <xf numFmtId="14" fontId="1" fillId="4" borderId="0" xfId="2" applyNumberFormat="1" applyFont="1"/>
    <xf numFmtId="0" fontId="4" fillId="0" borderId="15" xfId="4" applyBorder="1" applyAlignment="1" applyProtection="1">
      <alignment horizontal="justify" vertical="top" wrapText="1"/>
    </xf>
    <xf numFmtId="0" fontId="4" fillId="0" borderId="0" xfId="4" applyBorder="1" applyAlignment="1" applyProtection="1">
      <alignment horizontal="justify" vertical="top" wrapText="1"/>
    </xf>
    <xf numFmtId="0" fontId="4" fillId="0" borderId="16" xfId="4" applyBorder="1" applyAlignment="1" applyProtection="1">
      <alignment horizontal="justify" vertical="top" wrapText="1"/>
    </xf>
    <xf numFmtId="0" fontId="4" fillId="0" borderId="13" xfId="4" applyBorder="1" applyAlignment="1" applyProtection="1">
      <alignment horizontal="justify" vertical="top" wrapText="1"/>
    </xf>
    <xf numFmtId="0" fontId="4" fillId="0" borderId="19" xfId="4" applyBorder="1" applyAlignment="1" applyProtection="1">
      <alignment horizontal="justify" vertical="top" wrapText="1"/>
    </xf>
    <xf numFmtId="0" fontId="4" fillId="0" borderId="14" xfId="4" applyBorder="1" applyAlignment="1" applyProtection="1">
      <alignment horizontal="justify" vertical="top" wrapText="1"/>
    </xf>
    <xf numFmtId="0" fontId="4" fillId="0" borderId="12" xfId="4" applyBorder="1" applyAlignment="1" applyProtection="1">
      <alignment horizontal="justify" vertical="top" wrapText="1"/>
    </xf>
    <xf numFmtId="0" fontId="29" fillId="4" borderId="0" xfId="2" applyFont="1" applyAlignment="1">
      <alignment horizontal="right" vertical="center"/>
    </xf>
    <xf numFmtId="0" fontId="23" fillId="8" borderId="0" xfId="0" applyFont="1" applyFill="1" applyBorder="1" applyAlignment="1">
      <alignment horizontal="right" vertical="center"/>
    </xf>
    <xf numFmtId="0" fontId="29" fillId="0" borderId="9" xfId="4" applyFont="1" applyAlignment="1">
      <alignment horizontal="right" vertical="center"/>
      <protection locked="0"/>
    </xf>
    <xf numFmtId="0" fontId="30" fillId="9" borderId="0" xfId="0" applyFont="1" applyFill="1" applyBorder="1" applyAlignment="1" applyProtection="1">
      <alignment horizontal="center" vertical="center"/>
      <protection locked="0"/>
    </xf>
    <xf numFmtId="0" fontId="20" fillId="2" borderId="31" xfId="0" applyFont="1" applyFill="1" applyBorder="1" applyAlignment="1">
      <alignment horizontal="right" vertical="top"/>
    </xf>
    <xf numFmtId="0" fontId="4" fillId="0" borderId="40" xfId="4" quotePrefix="1" applyBorder="1">
      <protection locked="0"/>
    </xf>
    <xf numFmtId="0" fontId="4" fillId="0" borderId="41" xfId="4" applyBorder="1" applyProtection="1"/>
    <xf numFmtId="0" fontId="4" fillId="0" borderId="42" xfId="4" quotePrefix="1" applyBorder="1">
      <protection locked="0"/>
    </xf>
    <xf numFmtId="0" fontId="4" fillId="0" borderId="43" xfId="4" applyBorder="1" applyProtection="1"/>
    <xf numFmtId="0" fontId="4" fillId="0" borderId="45" xfId="4" applyBorder="1" applyProtection="1"/>
    <xf numFmtId="0" fontId="4" fillId="0" borderId="44" xfId="4" quotePrefix="1" applyBorder="1" applyAlignment="1">
      <alignment vertical="top"/>
      <protection locked="0"/>
    </xf>
    <xf numFmtId="0" fontId="14" fillId="0" borderId="21" xfId="0" applyFont="1" applyBorder="1"/>
    <xf numFmtId="0" fontId="14" fillId="0" borderId="22" xfId="0" applyFont="1" applyBorder="1"/>
    <xf numFmtId="0" fontId="14" fillId="0" borderId="20" xfId="0" applyFont="1" applyBorder="1"/>
    <xf numFmtId="0" fontId="14" fillId="0" borderId="23" xfId="0" applyFont="1" applyBorder="1"/>
    <xf numFmtId="0" fontId="14" fillId="0" borderId="0" xfId="0" applyNumberFormat="1" applyFont="1"/>
    <xf numFmtId="0" fontId="1" fillId="4" borderId="0" xfId="0" applyFont="1" applyFill="1" applyBorder="1" applyAlignment="1">
      <alignment horizontal="left" vertical="top"/>
    </xf>
    <xf numFmtId="0" fontId="31" fillId="0" borderId="0" xfId="0" applyFont="1" applyAlignment="1">
      <alignment vertical="center" wrapText="1"/>
    </xf>
  </cellXfs>
  <cellStyles count="6">
    <cellStyle name="Campo" xfId="4" xr:uid="{57AD0FF7-1C01-4C21-8DFC-6FEDCE97DB2D}"/>
    <cellStyle name="Fondo" xfId="2" xr:uid="{C3E229A5-0714-464D-9BF7-5F2FDC13D736}"/>
    <cellStyle name="Moneda" xfId="1" builtinId="4"/>
    <cellStyle name="Normal" xfId="0" builtinId="0"/>
    <cellStyle name="Porcentaje" xfId="5" builtinId="5"/>
    <cellStyle name="Título_Campo" xfId="3" xr:uid="{8E5E6FFC-0A86-41C9-BD28-12AAC44B8EBA}"/>
  </cellStyles>
  <dxfs count="47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scheme val="minor"/>
      </font>
      <numFmt numFmtId="166" formatCode="dd\-mmm\-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border diagonalUp="0" diagonalDown="0">
        <left style="thin">
          <color theme="7"/>
        </left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border diagonalUp="0" diagonalDown="0">
        <left/>
        <right style="thin">
          <color theme="7"/>
        </right>
        <top style="thin">
          <color theme="7"/>
        </top>
        <bottom/>
        <vertical/>
        <horizontal/>
      </border>
    </dxf>
    <dxf>
      <border outline="0"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ptos Narrow"/>
        <family val="2"/>
        <scheme val="minor"/>
      </font>
      <fill>
        <patternFill patternType="solid">
          <fgColor theme="7"/>
          <bgColor theme="7"/>
        </patternFill>
      </fill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</dxfs>
  <tableStyles count="0" defaultTableStyle="TableStyleMedium2" defaultPivotStyle="PivotStyleMedium9"/>
  <colors>
    <mruColors>
      <color rgb="FFF7F7F7"/>
      <color rgb="FFECECEC"/>
      <color rgb="FFF3F5FB"/>
      <color rgb="FFFAFA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22/11/relationships/FeaturePropertyBag" Target="featurePropertyBag/featurePropertyBag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Info!$G$4" lockText="1" noThreeD="1"/>
</file>

<file path=xl/ctrlProps/ctrlProp2.xml><?xml version="1.0" encoding="utf-8"?>
<formControlPr xmlns="http://schemas.microsoft.com/office/spreadsheetml/2009/9/main" objectType="CheckBox" checked="Checked" fmlaLink="Info!$H$4" lockText="1" noThreeD="1"/>
</file>

<file path=xl/ctrlProps/ctrlProp3.xml><?xml version="1.0" encoding="utf-8"?>
<formControlPr xmlns="http://schemas.microsoft.com/office/spreadsheetml/2009/9/main" objectType="Spin" dx="26" fmlaLink="$C$12" max="30000" page="10" val="0"/>
</file>

<file path=xl/ctrlProps/ctrlProp4.xml><?xml version="1.0" encoding="utf-8"?>
<formControlPr xmlns="http://schemas.microsoft.com/office/spreadsheetml/2009/9/main" objectType="Spin" dx="26" fmlaLink="$C$15" max="30000" page="10" val="0"/>
</file>

<file path=xl/ctrlProps/ctrlProp5.xml><?xml version="1.0" encoding="utf-8"?>
<formControlPr xmlns="http://schemas.microsoft.com/office/spreadsheetml/2009/9/main" objectType="Spin" dx="26" fmlaLink="$C$18" max="30000" page="10" val="2"/>
</file>

<file path=xl/ctrlProps/ctrlProp6.xml><?xml version="1.0" encoding="utf-8"?>
<formControlPr xmlns="http://schemas.microsoft.com/office/spreadsheetml/2009/9/main" objectType="Spin" dx="26" fmlaLink="$C$21" max="30000" page="10" val="0"/>
</file>

<file path=xl/ctrlProps/ctrlProp7.xml><?xml version="1.0" encoding="utf-8"?>
<formControlPr xmlns="http://schemas.microsoft.com/office/spreadsheetml/2009/9/main" objectType="CheckBox" checked="Checked" fmlaLink="Info!$F$12" lockText="1" noThreeD="1"/>
</file>

<file path=xl/ctrlProps/ctrlProp8.xml><?xml version="1.0" encoding="utf-8"?>
<formControlPr xmlns="http://schemas.microsoft.com/office/spreadsheetml/2009/9/main" objectType="CheckBox" checked="Checked" fmlaLink="Info!$G$12" lockText="1" noThreeD="1"/>
</file>

<file path=xl/ctrlProps/ctrlProp9.xml><?xml version="1.0" encoding="utf-8"?>
<formControlPr xmlns="http://schemas.microsoft.com/office/spreadsheetml/2009/9/main" objectType="CheckBox" fmlaLink="Info!$H$12" lockText="1" noThreeD="1"/>
</file>

<file path=xl/ctrlProps/ctrlProp10.xml><?xml version="1.0" encoding="utf-8"?>
<formControlPr xmlns="http://schemas.microsoft.com/office/spreadsheetml/2009/9/main" objectType="CheckBox" checked="Checked" fmlaLink="Info!$I$12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8.png"/><Relationship Id="rId3" Type="http://schemas.openxmlformats.org/officeDocument/2006/relationships/image" Target="../media/image2.jpeg"/><Relationship Id="rId7" Type="http://schemas.openxmlformats.org/officeDocument/2006/relationships/hyperlink" Target="#Costos!A1"/><Relationship Id="rId12" Type="http://schemas.openxmlformats.org/officeDocument/2006/relationships/image" Target="../media/image7.svg"/><Relationship Id="rId2" Type="http://schemas.openxmlformats.org/officeDocument/2006/relationships/hyperlink" Target="#Materiales!A1"/><Relationship Id="rId1" Type="http://schemas.openxmlformats.org/officeDocument/2006/relationships/image" Target="../media/image1.jpeg"/><Relationship Id="rId6" Type="http://schemas.openxmlformats.org/officeDocument/2006/relationships/image" Target="../media/image3.png"/><Relationship Id="rId11" Type="http://schemas.openxmlformats.org/officeDocument/2006/relationships/image" Target="../media/image6.png"/><Relationship Id="rId5" Type="http://schemas.openxmlformats.org/officeDocument/2006/relationships/hyperlink" Target="#'Mano de Obra'!A1"/><Relationship Id="rId15" Type="http://schemas.openxmlformats.org/officeDocument/2006/relationships/image" Target="../media/image10.png"/><Relationship Id="rId10" Type="http://schemas.openxmlformats.org/officeDocument/2006/relationships/hyperlink" Target="#Resumen!A1"/><Relationship Id="rId4" Type="http://schemas.openxmlformats.org/officeDocument/2006/relationships/hyperlink" Target="#Ganancia!A1"/><Relationship Id="rId9" Type="http://schemas.openxmlformats.org/officeDocument/2006/relationships/image" Target="../media/image5.svg"/><Relationship Id="rId14" Type="http://schemas.openxmlformats.org/officeDocument/2006/relationships/image" Target="../media/image9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Costos!A1"/><Relationship Id="rId13" Type="http://schemas.openxmlformats.org/officeDocument/2006/relationships/image" Target="../media/image7.svg"/><Relationship Id="rId3" Type="http://schemas.openxmlformats.org/officeDocument/2006/relationships/image" Target="../media/image12.svg"/><Relationship Id="rId7" Type="http://schemas.openxmlformats.org/officeDocument/2006/relationships/image" Target="../media/image3.png"/><Relationship Id="rId12" Type="http://schemas.openxmlformats.org/officeDocument/2006/relationships/image" Target="../media/image6.png"/><Relationship Id="rId2" Type="http://schemas.openxmlformats.org/officeDocument/2006/relationships/image" Target="../media/image11.png"/><Relationship Id="rId16" Type="http://schemas.openxmlformats.org/officeDocument/2006/relationships/image" Target="../media/image10.png"/><Relationship Id="rId1" Type="http://schemas.openxmlformats.org/officeDocument/2006/relationships/hyperlink" Target="#'Mano de Obra'!A1"/><Relationship Id="rId6" Type="http://schemas.openxmlformats.org/officeDocument/2006/relationships/hyperlink" Target="#Ganancia!A1"/><Relationship Id="rId11" Type="http://schemas.openxmlformats.org/officeDocument/2006/relationships/hyperlink" Target="#Resumen!A1"/><Relationship Id="rId5" Type="http://schemas.openxmlformats.org/officeDocument/2006/relationships/image" Target="../media/image2.jpeg"/><Relationship Id="rId15" Type="http://schemas.openxmlformats.org/officeDocument/2006/relationships/image" Target="../media/image13.svg"/><Relationship Id="rId10" Type="http://schemas.openxmlformats.org/officeDocument/2006/relationships/image" Target="../media/image5.svg"/><Relationship Id="rId4" Type="http://schemas.openxmlformats.org/officeDocument/2006/relationships/hyperlink" Target="#Informaci&#243;n!A1"/><Relationship Id="rId9" Type="http://schemas.openxmlformats.org/officeDocument/2006/relationships/image" Target="../media/image4.png"/><Relationship Id="rId14" Type="http://schemas.openxmlformats.org/officeDocument/2006/relationships/hyperlink" Target="#Materiales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hyperlink" Target="#'Mano de Obra'!A1"/><Relationship Id="rId12" Type="http://schemas.openxmlformats.org/officeDocument/2006/relationships/image" Target="../media/image7.svg"/><Relationship Id="rId2" Type="http://schemas.openxmlformats.org/officeDocument/2006/relationships/hyperlink" Target="#Materiales!A1"/><Relationship Id="rId1" Type="http://schemas.openxmlformats.org/officeDocument/2006/relationships/hyperlink" Target="#Costos!A1"/><Relationship Id="rId6" Type="http://schemas.openxmlformats.org/officeDocument/2006/relationships/hyperlink" Target="#Ganancia!A1"/><Relationship Id="rId11" Type="http://schemas.openxmlformats.org/officeDocument/2006/relationships/image" Target="../media/image6.png"/><Relationship Id="rId5" Type="http://schemas.openxmlformats.org/officeDocument/2006/relationships/image" Target="../media/image2.jpeg"/><Relationship Id="rId15" Type="http://schemas.openxmlformats.org/officeDocument/2006/relationships/image" Target="../media/image10.png"/><Relationship Id="rId10" Type="http://schemas.openxmlformats.org/officeDocument/2006/relationships/hyperlink" Target="#Resumen!A1"/><Relationship Id="rId4" Type="http://schemas.openxmlformats.org/officeDocument/2006/relationships/hyperlink" Target="#Informaci&#243;n!A1"/><Relationship Id="rId9" Type="http://schemas.openxmlformats.org/officeDocument/2006/relationships/image" Target="../media/image5.svg"/><Relationship Id="rId14" Type="http://schemas.openxmlformats.org/officeDocument/2006/relationships/image" Target="../media/image9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Costos!A1"/><Relationship Id="rId13" Type="http://schemas.openxmlformats.org/officeDocument/2006/relationships/hyperlink" Target="#Materiales!A1"/><Relationship Id="rId3" Type="http://schemas.openxmlformats.org/officeDocument/2006/relationships/image" Target="../media/image14.png"/><Relationship Id="rId7" Type="http://schemas.openxmlformats.org/officeDocument/2006/relationships/image" Target="../media/image3.png"/><Relationship Id="rId12" Type="http://schemas.openxmlformats.org/officeDocument/2006/relationships/image" Target="../media/image7.svg"/><Relationship Id="rId2" Type="http://schemas.openxmlformats.org/officeDocument/2006/relationships/hyperlink" Target="#'Mano de Obra'!A1"/><Relationship Id="rId16" Type="http://schemas.openxmlformats.org/officeDocument/2006/relationships/image" Target="../media/image10.png"/><Relationship Id="rId1" Type="http://schemas.openxmlformats.org/officeDocument/2006/relationships/hyperlink" Target="#Ganancia!A1"/><Relationship Id="rId6" Type="http://schemas.openxmlformats.org/officeDocument/2006/relationships/image" Target="../media/image2.jpeg"/><Relationship Id="rId11" Type="http://schemas.openxmlformats.org/officeDocument/2006/relationships/image" Target="../media/image6.png"/><Relationship Id="rId5" Type="http://schemas.openxmlformats.org/officeDocument/2006/relationships/hyperlink" Target="#Informaci&#243;n!A1"/><Relationship Id="rId15" Type="http://schemas.openxmlformats.org/officeDocument/2006/relationships/image" Target="../media/image9.svg"/><Relationship Id="rId10" Type="http://schemas.openxmlformats.org/officeDocument/2006/relationships/hyperlink" Target="#Resumen!A1"/><Relationship Id="rId4" Type="http://schemas.openxmlformats.org/officeDocument/2006/relationships/image" Target="../media/image15.svg"/><Relationship Id="rId9" Type="http://schemas.openxmlformats.org/officeDocument/2006/relationships/image" Target="../media/image16.svg"/><Relationship Id="rId14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8.png"/><Relationship Id="rId3" Type="http://schemas.openxmlformats.org/officeDocument/2006/relationships/hyperlink" Target="#Informaci&#243;n!A1"/><Relationship Id="rId7" Type="http://schemas.openxmlformats.org/officeDocument/2006/relationships/image" Target="../media/image3.png"/><Relationship Id="rId12" Type="http://schemas.openxmlformats.org/officeDocument/2006/relationships/hyperlink" Target="#Materiales!A1"/><Relationship Id="rId2" Type="http://schemas.openxmlformats.org/officeDocument/2006/relationships/hyperlink" Target="#Costos!A1"/><Relationship Id="rId1" Type="http://schemas.openxmlformats.org/officeDocument/2006/relationships/hyperlink" Target="#Resumen!A1"/><Relationship Id="rId6" Type="http://schemas.openxmlformats.org/officeDocument/2006/relationships/hyperlink" Target="#'Mano de Obra'!A1"/><Relationship Id="rId11" Type="http://schemas.openxmlformats.org/officeDocument/2006/relationships/image" Target="../media/image7.svg"/><Relationship Id="rId5" Type="http://schemas.openxmlformats.org/officeDocument/2006/relationships/hyperlink" Target="#Ganancia!A1"/><Relationship Id="rId15" Type="http://schemas.openxmlformats.org/officeDocument/2006/relationships/image" Target="../media/image10.png"/><Relationship Id="rId10" Type="http://schemas.openxmlformats.org/officeDocument/2006/relationships/image" Target="../media/image6.png"/><Relationship Id="rId4" Type="http://schemas.openxmlformats.org/officeDocument/2006/relationships/image" Target="../media/image2.jpeg"/><Relationship Id="rId9" Type="http://schemas.openxmlformats.org/officeDocument/2006/relationships/image" Target="../media/image5.svg"/><Relationship Id="rId14" Type="http://schemas.openxmlformats.org/officeDocument/2006/relationships/image" Target="../media/image9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Costos!A1"/><Relationship Id="rId13" Type="http://schemas.openxmlformats.org/officeDocument/2006/relationships/hyperlink" Target="#Materiales!A1"/><Relationship Id="rId3" Type="http://schemas.openxmlformats.org/officeDocument/2006/relationships/image" Target="../media/image18.svg"/><Relationship Id="rId7" Type="http://schemas.openxmlformats.org/officeDocument/2006/relationships/image" Target="../media/image3.png"/><Relationship Id="rId12" Type="http://schemas.openxmlformats.org/officeDocument/2006/relationships/image" Target="../media/image19.svg"/><Relationship Id="rId2" Type="http://schemas.openxmlformats.org/officeDocument/2006/relationships/image" Target="../media/image17.png"/><Relationship Id="rId16" Type="http://schemas.openxmlformats.org/officeDocument/2006/relationships/image" Target="../media/image10.png"/><Relationship Id="rId1" Type="http://schemas.openxmlformats.org/officeDocument/2006/relationships/hyperlink" Target="#Ganancia!A1"/><Relationship Id="rId6" Type="http://schemas.openxmlformats.org/officeDocument/2006/relationships/hyperlink" Target="#'Mano de Obra'!A1"/><Relationship Id="rId11" Type="http://schemas.openxmlformats.org/officeDocument/2006/relationships/hyperlink" Target="#Resumen!A1"/><Relationship Id="rId5" Type="http://schemas.openxmlformats.org/officeDocument/2006/relationships/image" Target="../media/image2.jpeg"/><Relationship Id="rId15" Type="http://schemas.openxmlformats.org/officeDocument/2006/relationships/image" Target="../media/image9.svg"/><Relationship Id="rId10" Type="http://schemas.openxmlformats.org/officeDocument/2006/relationships/image" Target="../media/image5.svg"/><Relationship Id="rId4" Type="http://schemas.openxmlformats.org/officeDocument/2006/relationships/hyperlink" Target="#Informaci&#243;n!A1"/><Relationship Id="rId9" Type="http://schemas.openxmlformats.org/officeDocument/2006/relationships/image" Target="../media/image4.png"/><Relationship Id="rId14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22273</xdr:colOff>
      <xdr:row>5</xdr:row>
      <xdr:rowOff>123094</xdr:rowOff>
    </xdr:from>
    <xdr:to>
      <xdr:col>2</xdr:col>
      <xdr:colOff>208377</xdr:colOff>
      <xdr:row>6</xdr:row>
      <xdr:rowOff>191087</xdr:rowOff>
    </xdr:to>
    <xdr:pic>
      <xdr:nvPicPr>
        <xdr:cNvPr id="2" name="Imagen 1" descr="Icono Informacion Vectores, Iconos, Gráficos y Fondos para Descargar Grati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421" t="18065" r="6002" b="19314"/>
        <a:stretch/>
      </xdr:blipFill>
      <xdr:spPr bwMode="auto">
        <a:xfrm>
          <a:off x="447235" y="1463921"/>
          <a:ext cx="197534" cy="189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1674886</xdr:colOff>
      <xdr:row>18</xdr:row>
      <xdr:rowOff>93345</xdr:rowOff>
    </xdr:from>
    <xdr:to>
      <xdr:col>7</xdr:col>
      <xdr:colOff>391</xdr:colOff>
      <xdr:row>20</xdr:row>
      <xdr:rowOff>57150</xdr:rowOff>
    </xdr:to>
    <xdr:sp macro="" textlink="">
      <xdr:nvSpPr>
        <xdr:cNvPr id="51" name="Rectángulo: esquinas redondeadas 5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256411" y="3427095"/>
          <a:ext cx="992505" cy="302895"/>
        </a:xfrm>
        <a:prstGeom prst="roundRect">
          <a:avLst/>
        </a:prstGeom>
        <a:solidFill>
          <a:srgbClr val="00206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s-MX" sz="1100"/>
            <a:t>Siguiente </a:t>
          </a:r>
          <a:r>
            <a:rPr lang="es-MX" sz="1100">
              <a:sym typeface="Wingdings" panose="05000000000000000000" pitchFamily="2" charset="2"/>
            </a:rPr>
            <a:t></a:t>
          </a:r>
          <a:endParaRPr lang="es-MX" sz="1100"/>
        </a:p>
      </xdr:txBody>
    </xdr:sp>
    <xdr:clientData/>
  </xdr:twoCellAnchor>
  <xdr:twoCellAnchor>
    <xdr:from>
      <xdr:col>4</xdr:col>
      <xdr:colOff>533400</xdr:colOff>
      <xdr:row>13</xdr:row>
      <xdr:rowOff>91440</xdr:rowOff>
    </xdr:from>
    <xdr:to>
      <xdr:col>4</xdr:col>
      <xdr:colOff>2013477</xdr:colOff>
      <xdr:row>15</xdr:row>
      <xdr:rowOff>0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4884420" y="2716530"/>
          <a:ext cx="1480077" cy="236220"/>
          <a:chOff x="4968242" y="2691709"/>
          <a:chExt cx="1485852" cy="241935"/>
        </a:xfrm>
      </xdr:grpSpPr>
      <xdr:sp macro="" textlink="">
        <xdr:nvSpPr>
          <xdr:cNvPr id="52" name="CuadroTexto 5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SpPr txBox="1"/>
        </xdr:nvSpPr>
        <xdr:spPr>
          <a:xfrm>
            <a:off x="5201956" y="2751953"/>
            <a:ext cx="1252138" cy="1486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es-MX" sz="950">
                <a:solidFill>
                  <a:schemeClr val="tx1">
                    <a:lumMod val="65000"/>
                    <a:lumOff val="35000"/>
                  </a:schemeClr>
                </a:solidFill>
              </a:rPr>
              <a:t>Cliente aporta materiales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7" name="Check Box 3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000-000003040000}"/>
                  </a:ext>
                </a:extLst>
              </xdr:cNvPr>
              <xdr:cNvSpPr/>
            </xdr:nvSpPr>
            <xdr:spPr bwMode="auto">
              <a:xfrm>
                <a:off x="4968242" y="2691709"/>
                <a:ext cx="238125" cy="24193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533400</xdr:colOff>
      <xdr:row>14</xdr:row>
      <xdr:rowOff>129540</xdr:rowOff>
    </xdr:from>
    <xdr:to>
      <xdr:col>4</xdr:col>
      <xdr:colOff>1631658</xdr:colOff>
      <xdr:row>16</xdr:row>
      <xdr:rowOff>38100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4884420" y="2918460"/>
          <a:ext cx="1098258" cy="247650"/>
          <a:chOff x="6905625" y="2825138"/>
          <a:chExt cx="1098258" cy="251459"/>
        </a:xfrm>
      </xdr:grpSpPr>
      <xdr:sp macro="" textlink="">
        <xdr:nvSpPr>
          <xdr:cNvPr id="54" name="CuadroTexto 53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SpPr txBox="1"/>
        </xdr:nvSpPr>
        <xdr:spPr>
          <a:xfrm>
            <a:off x="7135055" y="2887648"/>
            <a:ext cx="868828" cy="1486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es-MX" sz="950">
                <a:solidFill>
                  <a:schemeClr val="tx1">
                    <a:lumMod val="65000"/>
                    <a:lumOff val="35000"/>
                  </a:schemeClr>
                </a:solidFill>
              </a:rPr>
              <a:t>Incluir instalación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" name="Check Box 4" hidden="1">
                <a:extLst>
                  <a:ext uri="{63B3BB69-23CF-44E3-9099-C40C66FF867C}">
                    <a14:compatExt spid="_x0000_s1028"/>
                  </a:ext>
                  <a:ext uri="{FF2B5EF4-FFF2-40B4-BE49-F238E27FC236}">
                    <a16:creationId xmlns:a16="http://schemas.microsoft.com/office/drawing/2014/main" id="{00000000-0008-0000-0000-000004040000}"/>
                  </a:ext>
                </a:extLst>
              </xdr:cNvPr>
              <xdr:cNvSpPr/>
            </xdr:nvSpPr>
            <xdr:spPr bwMode="auto">
              <a:xfrm>
                <a:off x="6905625" y="2825138"/>
                <a:ext cx="207645" cy="25145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oneCellAnchor>
    <xdr:from>
      <xdr:col>2</xdr:col>
      <xdr:colOff>248894</xdr:colOff>
      <xdr:row>5</xdr:row>
      <xdr:rowOff>115874</xdr:rowOff>
    </xdr:from>
    <xdr:ext cx="1885388" cy="238213"/>
    <xdr:sp macro="" textlink="">
      <xdr:nvSpPr>
        <xdr:cNvPr id="63" name="CuadroTexto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 txBox="1"/>
      </xdr:nvSpPr>
      <xdr:spPr>
        <a:xfrm>
          <a:off x="553694" y="1468424"/>
          <a:ext cx="1881578" cy="2382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es-MX" sz="1400" b="1">
              <a:solidFill>
                <a:srgbClr val="0070C0"/>
              </a:solidFill>
            </a:rPr>
            <a:t>Información del Proyecto</a:t>
          </a:r>
        </a:p>
      </xdr:txBody>
    </xdr:sp>
    <xdr:clientData/>
  </xdr:oneCellAnchor>
  <xdr:twoCellAnchor editAs="absolute">
    <xdr:from>
      <xdr:col>1</xdr:col>
      <xdr:colOff>0</xdr:colOff>
      <xdr:row>1</xdr:row>
      <xdr:rowOff>40940</xdr:rowOff>
    </xdr:from>
    <xdr:to>
      <xdr:col>4</xdr:col>
      <xdr:colOff>1962898</xdr:colOff>
      <xdr:row>3</xdr:row>
      <xdr:rowOff>211056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152400" y="204770"/>
          <a:ext cx="6161518" cy="924496"/>
          <a:chOff x="161925" y="212349"/>
          <a:chExt cx="6389668" cy="909284"/>
        </a:xfrm>
      </xdr:grpSpPr>
      <xdr:grpSp>
        <xdr:nvGrpSpPr>
          <xdr:cNvPr id="43" name="Grupo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GrpSpPr/>
        </xdr:nvGrpSpPr>
        <xdr:grpSpPr>
          <a:xfrm>
            <a:off x="161925" y="879470"/>
            <a:ext cx="1096039" cy="233063"/>
            <a:chOff x="299084" y="926416"/>
            <a:chExt cx="1089515" cy="232850"/>
          </a:xfrm>
        </xdr:grpSpPr>
        <xdr:sp macro="" textlink="">
          <xdr:nvSpPr>
            <xdr:cNvPr id="44" name="Rectángulo 43">
              <a:extLst>
                <a:ext uri="{FF2B5EF4-FFF2-40B4-BE49-F238E27FC236}">
                  <a16:creationId xmlns:a16="http://schemas.microsoft.com/office/drawing/2014/main" id="{00000000-0008-0000-0000-00002C000000}"/>
                </a:ext>
              </a:extLst>
            </xdr:cNvPr>
            <xdr:cNvSpPr/>
          </xdr:nvSpPr>
          <xdr:spPr>
            <a:xfrm>
              <a:off x="300405" y="926416"/>
              <a:ext cx="1088194" cy="2328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 anchorCtr="0"/>
            <a:lstStyle/>
            <a:p>
              <a:pPr algn="l"/>
              <a:r>
                <a:rPr lang="es-MX" sz="1100" b="1">
                  <a:solidFill>
                    <a:srgbClr val="0070C0"/>
                  </a:solidFill>
                </a:rPr>
                <a:t>        Información </a:t>
              </a:r>
            </a:p>
          </xdr:txBody>
        </xdr:sp>
        <xdr:pic>
          <xdr:nvPicPr>
            <xdr:cNvPr id="45" name="Imagen 44" descr="Icono Informacion Vectores, Iconos, Gráficos y Fondos para Descargar Gratis">
              <a:extLst>
                <a:ext uri="{FF2B5EF4-FFF2-40B4-BE49-F238E27FC236}">
                  <a16:creationId xmlns:a16="http://schemas.microsoft.com/office/drawing/2014/main" id="{00000000-0008-0000-0000-00002D000000}"/>
                </a:ext>
              </a:extLst>
            </xdr:cNvPr>
            <xdr:cNvPicPr preferRelativeResize="0">
              <a:picLocks noChangeArrowheads="1"/>
            </xdr:cNvPicPr>
          </xdr:nvPicPr>
          <xdr:blipFill rotWithShape="1">
            <a:blip xmlns:r="http://schemas.openxmlformats.org/officeDocument/2006/relationships" r:embed="rId3" cstate="print">
              <a:clrChange>
                <a:clrFrom>
                  <a:srgbClr val="FFFFFF"/>
                </a:clrFrom>
                <a:clrTo>
                  <a:srgbClr val="FFFFFF">
                    <a:alpha val="0"/>
                  </a:srgbClr>
                </a:clrTo>
              </a:clrChang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52421" t="18065" r="6002" b="19314"/>
            <a:stretch/>
          </xdr:blipFill>
          <xdr:spPr bwMode="auto">
            <a:xfrm>
              <a:off x="387627" y="972870"/>
              <a:ext cx="143022" cy="146538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cxnSp macro="">
          <xdr:nvCxnSpPr>
            <xdr:cNvPr id="47" name="Conector recto 46">
              <a:extLst>
                <a:ext uri="{FF2B5EF4-FFF2-40B4-BE49-F238E27FC236}">
                  <a16:creationId xmlns:a16="http://schemas.microsoft.com/office/drawing/2014/main" id="{00000000-0008-0000-0000-00002F000000}"/>
                </a:ext>
              </a:extLst>
            </xdr:cNvPr>
            <xdr:cNvCxnSpPr/>
          </xdr:nvCxnSpPr>
          <xdr:spPr>
            <a:xfrm>
              <a:off x="299084" y="1154137"/>
              <a:ext cx="1078378" cy="0"/>
            </a:xfrm>
            <a:prstGeom prst="line">
              <a:avLst/>
            </a:prstGeom>
            <a:ln w="28575">
              <a:solidFill>
                <a:srgbClr val="0070C0"/>
              </a:solidFill>
            </a:ln>
          </xdr:spPr>
          <xdr:style>
            <a:lnRef idx="2">
              <a:schemeClr val="accent1"/>
            </a:lnRef>
            <a:fillRef idx="0">
              <a:schemeClr val="accent1"/>
            </a:fillRef>
            <a:effectRef idx="1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48" name="Grupo 4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GrpSpPr/>
        </xdr:nvGrpSpPr>
        <xdr:grpSpPr>
          <a:xfrm>
            <a:off x="4858494" y="876209"/>
            <a:ext cx="762329" cy="240683"/>
            <a:chOff x="1394313" y="929933"/>
            <a:chExt cx="1089515" cy="234755"/>
          </a:xfrm>
        </xdr:grpSpPr>
        <xdr:sp macro="" textlink="">
          <xdr:nvSpPr>
            <xdr:cNvPr id="49" name="Rectángulo 48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SpPr/>
          </xdr:nvSpPr>
          <xdr:spPr>
            <a:xfrm>
              <a:off x="1395634" y="929933"/>
              <a:ext cx="1088194" cy="234755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 anchorCtr="0"/>
            <a:lstStyle/>
            <a:p>
              <a:pPr algn="ctr"/>
              <a:r>
                <a:rPr lang="es-MX" sz="1100" b="1">
                  <a:solidFill>
                    <a:schemeClr val="bg2">
                      <a:lumMod val="75000"/>
                    </a:schemeClr>
                  </a:solidFill>
                </a:rPr>
                <a:t>% Utilidad</a:t>
              </a:r>
            </a:p>
          </xdr:txBody>
        </xdr:sp>
        <xdr:cxnSp macro="">
          <xdr:nvCxnSpPr>
            <xdr:cNvPr id="59" name="Conector recto 58">
              <a:extLst>
                <a:ext uri="{FF2B5EF4-FFF2-40B4-BE49-F238E27FC236}">
                  <a16:creationId xmlns:a16="http://schemas.microsoft.com/office/drawing/2014/main" id="{00000000-0008-0000-0000-00003B000000}"/>
                </a:ext>
              </a:extLst>
            </xdr:cNvPr>
            <xdr:cNvCxnSpPr/>
          </xdr:nvCxnSpPr>
          <xdr:spPr>
            <a:xfrm>
              <a:off x="1394313" y="1157654"/>
              <a:ext cx="1072663" cy="0"/>
            </a:xfrm>
            <a:prstGeom prst="line">
              <a:avLst/>
            </a:prstGeom>
            <a:ln w="12700">
              <a:solidFill>
                <a:schemeClr val="bg2">
                  <a:lumMod val="75000"/>
                </a:schemeClr>
              </a:solidFill>
            </a:ln>
          </xdr:spPr>
          <xdr:style>
            <a:lnRef idx="2">
              <a:schemeClr val="accent1"/>
            </a:lnRef>
            <a:fillRef idx="0">
              <a:schemeClr val="accent1"/>
            </a:fillRef>
            <a:effectRef idx="1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60" name="Grupo 5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GrpSpPr/>
        </xdr:nvGrpSpPr>
        <xdr:grpSpPr>
          <a:xfrm>
            <a:off x="2416004" y="875296"/>
            <a:ext cx="1105414" cy="246337"/>
            <a:chOff x="2398879" y="938714"/>
            <a:chExt cx="1087610" cy="230945"/>
          </a:xfrm>
        </xdr:grpSpPr>
        <xdr:grpSp>
          <xdr:nvGrpSpPr>
            <xdr:cNvPr id="61" name="Grupo 60">
              <a:extLst>
                <a:ext uri="{FF2B5EF4-FFF2-40B4-BE49-F238E27FC236}">
                  <a16:creationId xmlns:a16="http://schemas.microsoft.com/office/drawing/2014/main" id="{00000000-0008-0000-0000-00003D000000}"/>
                </a:ext>
              </a:extLst>
            </xdr:cNvPr>
            <xdr:cNvGrpSpPr/>
          </xdr:nvGrpSpPr>
          <xdr:grpSpPr>
            <a:xfrm>
              <a:off x="2398879" y="934904"/>
              <a:ext cx="1091420" cy="230945"/>
              <a:chOff x="1394313" y="929933"/>
              <a:chExt cx="1089515" cy="234755"/>
            </a:xfrm>
          </xdr:grpSpPr>
          <xdr:sp macro="" textlink="">
            <xdr:nvSpPr>
              <xdr:cNvPr id="64" name="Rectángulo 63">
                <a:extLst>
                  <a:ext uri="{FF2B5EF4-FFF2-40B4-BE49-F238E27FC236}">
                    <a16:creationId xmlns:a16="http://schemas.microsoft.com/office/drawing/2014/main" id="{00000000-0008-0000-0000-000040000000}"/>
                  </a:ext>
                </a:extLst>
              </xdr:cNvPr>
              <xdr:cNvSpPr/>
            </xdr:nvSpPr>
            <xdr:spPr>
              <a:xfrm>
                <a:off x="1395634" y="929933"/>
                <a:ext cx="1088194" cy="234755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 anchorCtr="0"/>
              <a:lstStyle/>
              <a:p>
                <a:pPr algn="ctr"/>
                <a:r>
                  <a:rPr lang="es-MX" sz="1100" b="1">
                    <a:solidFill>
                      <a:schemeClr val="bg2">
                        <a:lumMod val="75000"/>
                      </a:schemeClr>
                    </a:solidFill>
                  </a:rPr>
                  <a:t>      Mano de Obra</a:t>
                </a:r>
              </a:p>
            </xdr:txBody>
          </xdr:sp>
          <xdr:cxnSp macro="">
            <xdr:nvCxnSpPr>
              <xdr:cNvPr id="65" name="Conector recto 64">
                <a:extLst>
                  <a:ext uri="{FF2B5EF4-FFF2-40B4-BE49-F238E27FC236}">
                    <a16:creationId xmlns:a16="http://schemas.microsoft.com/office/drawing/2014/main" id="{00000000-0008-0000-0000-000041000000}"/>
                  </a:ext>
                </a:extLst>
              </xdr:cNvPr>
              <xdr:cNvCxnSpPr/>
            </xdr:nvCxnSpPr>
            <xdr:spPr>
              <a:xfrm>
                <a:off x="1394313" y="1157654"/>
                <a:ext cx="1072663" cy="0"/>
              </a:xfrm>
              <a:prstGeom prst="line">
                <a:avLst/>
              </a:prstGeom>
              <a:ln w="12700">
                <a:solidFill>
                  <a:schemeClr val="bg2">
                    <a:lumMod val="75000"/>
                  </a:schemeClr>
                </a:solidFill>
              </a:ln>
            </xdr:spPr>
            <xdr:style>
              <a:lnRef idx="2">
                <a:schemeClr val="accent1"/>
              </a:lnRef>
              <a:fillRef idx="0">
                <a:schemeClr val="accent1"/>
              </a:fillRef>
              <a:effectRef idx="1">
                <a:schemeClr val="accent1"/>
              </a:effectRef>
              <a:fontRef idx="minor">
                <a:schemeClr val="tx1"/>
              </a:fontRef>
            </xdr:style>
          </xdr:cxnSp>
        </xdr:grpSp>
        <xdr:pic>
          <xdr:nvPicPr>
            <xdr:cNvPr id="62" name="Imagen 61">
              <a:extLst>
                <a:ext uri="{FF2B5EF4-FFF2-40B4-BE49-F238E27FC236}">
                  <a16:creationId xmlns:a16="http://schemas.microsoft.com/office/drawing/2014/main" id="{00000000-0008-0000-00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clrChange>
                <a:clrFrom>
                  <a:srgbClr val="FFFFFF"/>
                </a:clrFrom>
                <a:clrTo>
                  <a:srgbClr val="FFFFFF">
                    <a:alpha val="0"/>
                  </a:srgbClr>
                </a:clrTo>
              </a:clrChange>
              <a:duotone>
                <a:schemeClr val="bg2">
                  <a:shade val="45000"/>
                  <a:satMod val="135000"/>
                </a:schemeClr>
                <a:prstClr val="white"/>
              </a:duotone>
            </a:blip>
            <a:stretch>
              <a:fillRect/>
            </a:stretch>
          </xdr:blipFill>
          <xdr:spPr>
            <a:xfrm flipH="1">
              <a:off x="2423351" y="973789"/>
              <a:ext cx="190793" cy="157769"/>
            </a:xfrm>
            <a:prstGeom prst="rect">
              <a:avLst/>
            </a:prstGeom>
          </xdr:spPr>
        </xdr:pic>
      </xdr:grpSp>
      <xdr:grpSp>
        <xdr:nvGrpSpPr>
          <xdr:cNvPr id="66" name="Grupo 65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GrpSpPr/>
        </xdr:nvGrpSpPr>
        <xdr:grpSpPr>
          <a:xfrm>
            <a:off x="3552496" y="871940"/>
            <a:ext cx="1281355" cy="240683"/>
            <a:chOff x="3508028" y="937541"/>
            <a:chExt cx="1274885" cy="229040"/>
          </a:xfrm>
        </xdr:grpSpPr>
        <xdr:grpSp>
          <xdr:nvGrpSpPr>
            <xdr:cNvPr id="67" name="Grupo 66">
              <a:extLst>
                <a:ext uri="{FF2B5EF4-FFF2-40B4-BE49-F238E27FC236}">
                  <a16:creationId xmlns:a16="http://schemas.microsoft.com/office/drawing/2014/main" id="{00000000-0008-0000-0000-000043000000}"/>
                </a:ext>
              </a:extLst>
            </xdr:cNvPr>
            <xdr:cNvGrpSpPr/>
          </xdr:nvGrpSpPr>
          <xdr:grpSpPr>
            <a:xfrm>
              <a:off x="3508028" y="937541"/>
              <a:ext cx="1274885" cy="229040"/>
              <a:chOff x="1394313" y="929933"/>
              <a:chExt cx="1089515" cy="234755"/>
            </a:xfrm>
          </xdr:grpSpPr>
          <xdr:sp macro="" textlink="">
            <xdr:nvSpPr>
              <xdr:cNvPr id="69" name="Rectángulo 68">
                <a:extLst>
                  <a:ext uri="{FF2B5EF4-FFF2-40B4-BE49-F238E27FC236}">
                    <a16:creationId xmlns:a16="http://schemas.microsoft.com/office/drawing/2014/main" id="{00000000-0008-0000-0000-000045000000}"/>
                  </a:ext>
                </a:extLst>
              </xdr:cNvPr>
              <xdr:cNvSpPr/>
            </xdr:nvSpPr>
            <xdr:spPr>
              <a:xfrm>
                <a:off x="1395634" y="929933"/>
                <a:ext cx="1088194" cy="234755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 anchorCtr="0"/>
              <a:lstStyle/>
              <a:p>
                <a:pPr algn="ctr"/>
                <a:r>
                  <a:rPr lang="es-MX" sz="1100" b="1">
                    <a:solidFill>
                      <a:schemeClr val="bg2">
                        <a:lumMod val="75000"/>
                      </a:schemeClr>
                    </a:solidFill>
                  </a:rPr>
                  <a:t>      Costos</a:t>
                </a:r>
                <a:r>
                  <a:rPr lang="es-MX" sz="1100" b="1" baseline="0">
                    <a:solidFill>
                      <a:schemeClr val="bg2">
                        <a:lumMod val="75000"/>
                      </a:schemeClr>
                    </a:solidFill>
                  </a:rPr>
                  <a:t> Indirectos</a:t>
                </a:r>
                <a:endParaRPr lang="es-MX" sz="1100" b="1">
                  <a:solidFill>
                    <a:schemeClr val="bg2">
                      <a:lumMod val="75000"/>
                    </a:schemeClr>
                  </a:solidFill>
                </a:endParaRPr>
              </a:p>
            </xdr:txBody>
          </xdr:sp>
          <xdr:cxnSp macro="">
            <xdr:nvCxnSpPr>
              <xdr:cNvPr id="70" name="Conector recto 69">
                <a:extLst>
                  <a:ext uri="{FF2B5EF4-FFF2-40B4-BE49-F238E27FC236}">
                    <a16:creationId xmlns:a16="http://schemas.microsoft.com/office/drawing/2014/main" id="{00000000-0008-0000-0000-000046000000}"/>
                  </a:ext>
                </a:extLst>
              </xdr:cNvPr>
              <xdr:cNvCxnSpPr/>
            </xdr:nvCxnSpPr>
            <xdr:spPr>
              <a:xfrm>
                <a:off x="1394313" y="1157654"/>
                <a:ext cx="1072663" cy="0"/>
              </a:xfrm>
              <a:prstGeom prst="line">
                <a:avLst/>
              </a:prstGeom>
              <a:ln w="12700">
                <a:solidFill>
                  <a:schemeClr val="bg2">
                    <a:lumMod val="75000"/>
                  </a:schemeClr>
                </a:solidFill>
              </a:ln>
            </xdr:spPr>
            <xdr:style>
              <a:lnRef idx="2">
                <a:schemeClr val="accent1"/>
              </a:lnRef>
              <a:fillRef idx="0">
                <a:schemeClr val="accent1"/>
              </a:fillRef>
              <a:effectRef idx="1">
                <a:schemeClr val="accent1"/>
              </a:effectRef>
              <a:fontRef idx="minor">
                <a:schemeClr val="tx1"/>
              </a:fontRef>
            </xdr:style>
          </xdr:cxnSp>
        </xdr:grpSp>
        <xdr:pic>
          <xdr:nvPicPr>
            <xdr:cNvPr id="68" name="Gráfico 67" descr="Monedas con relleno sólido">
              <a:extLst>
                <a:ext uri="{FF2B5EF4-FFF2-40B4-BE49-F238E27FC236}">
                  <a16:creationId xmlns:a16="http://schemas.microsoft.com/office/drawing/2014/main" id="{00000000-0008-0000-0000-00004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 flipH="1">
              <a:off x="3529589" y="941774"/>
              <a:ext cx="185259" cy="203816"/>
            </a:xfrm>
            <a:prstGeom prst="rect">
              <a:avLst/>
            </a:prstGeom>
          </xdr:spPr>
        </xdr:pic>
      </xdr:grpSp>
      <xdr:grpSp>
        <xdr:nvGrpSpPr>
          <xdr:cNvPr id="71" name="Grupo 70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000-000047000000}"/>
              </a:ext>
            </a:extLst>
          </xdr:cNvPr>
          <xdr:cNvGrpSpPr/>
        </xdr:nvGrpSpPr>
        <xdr:grpSpPr>
          <a:xfrm>
            <a:off x="5641326" y="879749"/>
            <a:ext cx="910267" cy="233355"/>
            <a:chOff x="5582531" y="937541"/>
            <a:chExt cx="894469" cy="232850"/>
          </a:xfrm>
        </xdr:grpSpPr>
        <xdr:grpSp>
          <xdr:nvGrpSpPr>
            <xdr:cNvPr id="72" name="Grupo 71">
              <a:extLst>
                <a:ext uri="{FF2B5EF4-FFF2-40B4-BE49-F238E27FC236}">
                  <a16:creationId xmlns:a16="http://schemas.microsoft.com/office/drawing/2014/main" id="{00000000-0008-0000-0000-000048000000}"/>
                </a:ext>
              </a:extLst>
            </xdr:cNvPr>
            <xdr:cNvGrpSpPr/>
          </xdr:nvGrpSpPr>
          <xdr:grpSpPr>
            <a:xfrm>
              <a:off x="5582531" y="937541"/>
              <a:ext cx="894469" cy="232850"/>
              <a:chOff x="1394313" y="929933"/>
              <a:chExt cx="1089515" cy="234755"/>
            </a:xfrm>
          </xdr:grpSpPr>
          <xdr:sp macro="" textlink="">
            <xdr:nvSpPr>
              <xdr:cNvPr id="74" name="Rectángulo 73">
                <a:extLst>
                  <a:ext uri="{FF2B5EF4-FFF2-40B4-BE49-F238E27FC236}">
                    <a16:creationId xmlns:a16="http://schemas.microsoft.com/office/drawing/2014/main" id="{00000000-0008-0000-0000-00004A000000}"/>
                  </a:ext>
                </a:extLst>
              </xdr:cNvPr>
              <xdr:cNvSpPr/>
            </xdr:nvSpPr>
            <xdr:spPr>
              <a:xfrm>
                <a:off x="1395634" y="929933"/>
                <a:ext cx="1088194" cy="234755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 anchorCtr="0"/>
              <a:lstStyle/>
              <a:p>
                <a:pPr algn="ctr"/>
                <a:r>
                  <a:rPr lang="es-MX" sz="1100" b="1">
                    <a:solidFill>
                      <a:schemeClr val="bg2">
                        <a:lumMod val="75000"/>
                      </a:schemeClr>
                    </a:solidFill>
                  </a:rPr>
                  <a:t>     Resumen</a:t>
                </a:r>
              </a:p>
            </xdr:txBody>
          </xdr:sp>
          <xdr:cxnSp macro="">
            <xdr:nvCxnSpPr>
              <xdr:cNvPr id="75" name="Conector recto 74">
                <a:extLst>
                  <a:ext uri="{FF2B5EF4-FFF2-40B4-BE49-F238E27FC236}">
                    <a16:creationId xmlns:a16="http://schemas.microsoft.com/office/drawing/2014/main" id="{00000000-0008-0000-0000-00004B000000}"/>
                  </a:ext>
                </a:extLst>
              </xdr:cNvPr>
              <xdr:cNvCxnSpPr/>
            </xdr:nvCxnSpPr>
            <xdr:spPr>
              <a:xfrm>
                <a:off x="1394313" y="1157654"/>
                <a:ext cx="1072663" cy="0"/>
              </a:xfrm>
              <a:prstGeom prst="line">
                <a:avLst/>
              </a:prstGeom>
              <a:ln w="12700">
                <a:solidFill>
                  <a:schemeClr val="bg2">
                    <a:lumMod val="75000"/>
                  </a:schemeClr>
                </a:solidFill>
              </a:ln>
            </xdr:spPr>
            <xdr:style>
              <a:lnRef idx="2">
                <a:schemeClr val="accent1"/>
              </a:lnRef>
              <a:fillRef idx="0">
                <a:schemeClr val="accent1"/>
              </a:fillRef>
              <a:effectRef idx="1">
                <a:schemeClr val="accent1"/>
              </a:effectRef>
              <a:fontRef idx="minor">
                <a:schemeClr val="tx1"/>
              </a:fontRef>
            </xdr:style>
          </xdr:cxnSp>
        </xdr:grpSp>
        <xdr:pic>
          <xdr:nvPicPr>
            <xdr:cNvPr id="73" name="Gráfico 72" descr="Lista con relleno sólido">
              <a:extLst>
                <a:ext uri="{FF2B5EF4-FFF2-40B4-BE49-F238E27FC236}">
                  <a16:creationId xmlns:a16="http://schemas.microsoft.com/office/drawing/2014/main" id="{00000000-0008-0000-0000-000049000000}"/>
                </a:ext>
              </a:extLst>
            </xdr:cNvPr>
            <xdr:cNvPicPr preferRelativeResize="0">
              <a:picLocks/>
            </xdr:cNvPicPr>
          </xdr:nvPicPr>
          <xdr:blipFill>
            <a:blip xmlns:r="http://schemas.openxmlformats.org/officeDocument/2006/relationships" r:embed="rId1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2"/>
                </a:ext>
              </a:extLst>
            </a:blip>
            <a:stretch>
              <a:fillRect/>
            </a:stretch>
          </xdr:blipFill>
          <xdr:spPr>
            <a:xfrm>
              <a:off x="5658511" y="956163"/>
              <a:ext cx="179125" cy="189597"/>
            </a:xfrm>
            <a:prstGeom prst="rect">
              <a:avLst/>
            </a:prstGeom>
          </xdr:spPr>
        </xdr:pic>
      </xdr:grpSp>
      <xdr:grpSp>
        <xdr:nvGrpSpPr>
          <xdr:cNvPr id="76" name="Grupo 75">
            <a:extLst>
              <a:ext uri="{FF2B5EF4-FFF2-40B4-BE49-F238E27FC236}">
                <a16:creationId xmlns:a16="http://schemas.microsoft.com/office/drawing/2014/main" id="{00000000-0008-0000-0000-00004C000000}"/>
              </a:ext>
            </a:extLst>
          </xdr:cNvPr>
          <xdr:cNvGrpSpPr/>
        </xdr:nvGrpSpPr>
        <xdr:grpSpPr>
          <a:xfrm>
            <a:off x="1287570" y="879469"/>
            <a:ext cx="1095896" cy="225566"/>
            <a:chOff x="1290169" y="941058"/>
            <a:chExt cx="1095230" cy="225230"/>
          </a:xfrm>
        </xdr:grpSpPr>
        <xdr:grpSp>
          <xdr:nvGrpSpPr>
            <xdr:cNvPr id="77" name="Grupo 76">
              <a:extLst>
                <a:ext uri="{FF2B5EF4-FFF2-40B4-BE49-F238E27FC236}">
                  <a16:creationId xmlns:a16="http://schemas.microsoft.com/office/drawing/2014/main" id="{00000000-0008-0000-0000-00004D000000}"/>
                </a:ext>
              </a:extLst>
            </xdr:cNvPr>
            <xdr:cNvGrpSpPr/>
          </xdr:nvGrpSpPr>
          <xdr:grpSpPr>
            <a:xfrm>
              <a:off x="1288264" y="937248"/>
              <a:ext cx="1093325" cy="232850"/>
              <a:chOff x="1394313" y="928000"/>
              <a:chExt cx="1089515" cy="232882"/>
            </a:xfrm>
          </xdr:grpSpPr>
          <xdr:sp macro="" textlink="">
            <xdr:nvSpPr>
              <xdr:cNvPr id="79" name="Rectángulo 78">
                <a:hlinkClick xmlns:r="http://schemas.openxmlformats.org/officeDocument/2006/relationships" r:id="rId2"/>
                <a:extLst>
                  <a:ext uri="{FF2B5EF4-FFF2-40B4-BE49-F238E27FC236}">
                    <a16:creationId xmlns:a16="http://schemas.microsoft.com/office/drawing/2014/main" id="{00000000-0008-0000-0000-00004F000000}"/>
                  </a:ext>
                </a:extLst>
              </xdr:cNvPr>
              <xdr:cNvSpPr/>
            </xdr:nvSpPr>
            <xdr:spPr>
              <a:xfrm>
                <a:off x="1399439" y="928000"/>
                <a:ext cx="1084389" cy="232882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 anchorCtr="0"/>
              <a:lstStyle/>
              <a:p>
                <a:pPr algn="ctr"/>
                <a:r>
                  <a:rPr lang="es-MX" sz="1100" b="1">
                    <a:solidFill>
                      <a:schemeClr val="bg2">
                        <a:lumMod val="75000"/>
                      </a:schemeClr>
                    </a:solidFill>
                  </a:rPr>
                  <a:t>     Materiales</a:t>
                </a:r>
              </a:p>
            </xdr:txBody>
          </xdr:sp>
          <xdr:cxnSp macro="">
            <xdr:nvCxnSpPr>
              <xdr:cNvPr id="80" name="Conector recto 79">
                <a:extLst>
                  <a:ext uri="{FF2B5EF4-FFF2-40B4-BE49-F238E27FC236}">
                    <a16:creationId xmlns:a16="http://schemas.microsoft.com/office/drawing/2014/main" id="{00000000-0008-0000-0000-000050000000}"/>
                  </a:ext>
                </a:extLst>
              </xdr:cNvPr>
              <xdr:cNvCxnSpPr/>
            </xdr:nvCxnSpPr>
            <xdr:spPr>
              <a:xfrm>
                <a:off x="1394313" y="1157654"/>
                <a:ext cx="1072663" cy="0"/>
              </a:xfrm>
              <a:prstGeom prst="line">
                <a:avLst/>
              </a:prstGeom>
              <a:ln w="12700">
                <a:solidFill>
                  <a:schemeClr val="bg2">
                    <a:lumMod val="75000"/>
                  </a:schemeClr>
                </a:solidFill>
              </a:ln>
            </xdr:spPr>
            <xdr:style>
              <a:lnRef idx="2">
                <a:schemeClr val="accent1"/>
              </a:lnRef>
              <a:fillRef idx="0">
                <a:schemeClr val="accent1"/>
              </a:fillRef>
              <a:effectRef idx="1">
                <a:schemeClr val="accent1"/>
              </a:effectRef>
              <a:fontRef idx="minor">
                <a:schemeClr val="tx1"/>
              </a:fontRef>
            </xdr:style>
          </xdr:cxnSp>
        </xdr:grpSp>
        <xdr:pic>
          <xdr:nvPicPr>
            <xdr:cNvPr id="78" name="Gráfico 77" descr="Carro de la compra con relleno sólido">
              <a:extLst>
                <a:ext uri="{FF2B5EF4-FFF2-40B4-BE49-F238E27FC236}">
                  <a16:creationId xmlns:a16="http://schemas.microsoft.com/office/drawing/2014/main" id="{00000000-0008-0000-0000-00004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4"/>
                </a:ext>
              </a:extLst>
            </a:blip>
            <a:stretch>
              <a:fillRect/>
            </a:stretch>
          </xdr:blipFill>
          <xdr:spPr>
            <a:xfrm>
              <a:off x="1391225" y="961041"/>
              <a:ext cx="195388" cy="189205"/>
            </a:xfrm>
            <a:prstGeom prst="rect">
              <a:avLst/>
            </a:prstGeom>
          </xdr:spPr>
        </xdr:pic>
      </xdr:grpSp>
      <xdr:pic>
        <xdr:nvPicPr>
          <xdr:cNvPr id="81" name="Imagen 80">
            <a:extLst>
              <a:ext uri="{FF2B5EF4-FFF2-40B4-BE49-F238E27FC236}">
                <a16:creationId xmlns:a16="http://schemas.microsoft.com/office/drawing/2014/main" id="{00000000-0008-0000-0000-000051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 bwMode="auto">
          <a:xfrm>
            <a:off x="162221" y="215702"/>
            <a:ext cx="453506" cy="44928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82" name="Rectángulo 81">
            <a:extLst>
              <a:ext uri="{FF2B5EF4-FFF2-40B4-BE49-F238E27FC236}">
                <a16:creationId xmlns:a16="http://schemas.microsoft.com/office/drawing/2014/main" id="{00000000-0008-0000-0000-000052000000}"/>
              </a:ext>
            </a:extLst>
          </xdr:cNvPr>
          <xdr:cNvSpPr/>
        </xdr:nvSpPr>
        <xdr:spPr>
          <a:xfrm>
            <a:off x="572422" y="212349"/>
            <a:ext cx="3210018" cy="45976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l"/>
            <a:r>
              <a:rPr lang="es-MX" sz="1600" b="1" i="0" u="none">
                <a:solidFill>
                  <a:sysClr val="windowText" lastClr="000000"/>
                </a:solidFill>
              </a:rPr>
              <a:t>Plantilla</a:t>
            </a:r>
            <a:r>
              <a:rPr lang="es-MX" sz="1600" b="1" i="0" u="none" baseline="0">
                <a:solidFill>
                  <a:sysClr val="windowText" lastClr="000000"/>
                </a:solidFill>
              </a:rPr>
              <a:t> Inteligente de Muebles</a:t>
            </a:r>
            <a:endParaRPr lang="es-MX" sz="1600" b="1" i="0" u="none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4</xdr:col>
      <xdr:colOff>1365885</xdr:colOff>
      <xdr:row>5</xdr:row>
      <xdr:rowOff>53340</xdr:rowOff>
    </xdr:from>
    <xdr:to>
      <xdr:col>5</xdr:col>
      <xdr:colOff>19441</xdr:colOff>
      <xdr:row>7</xdr:row>
      <xdr:rowOff>0</xdr:rowOff>
    </xdr:to>
    <xdr:sp macro="[0]!Borrar_Campos" textlink="">
      <xdr:nvSpPr>
        <xdr:cNvPr id="46" name="Rectángulo: esquinas redondeadas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>
          <a:off x="5945505" y="1402080"/>
          <a:ext cx="1126246" cy="281940"/>
        </a:xfrm>
        <a:prstGeom prst="roundRect">
          <a:avLst/>
        </a:prstGeom>
        <a:solidFill>
          <a:srgbClr val="0070C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s-MX" sz="1100"/>
            <a:t>Limpiar cotización</a:t>
          </a:r>
        </a:p>
      </xdr:txBody>
    </xdr:sp>
    <xdr:clientData/>
  </xdr:twoCellAnchor>
  <xdr:twoCellAnchor>
    <xdr:from>
      <xdr:col>2</xdr:col>
      <xdr:colOff>57150</xdr:colOff>
      <xdr:row>7</xdr:row>
      <xdr:rowOff>57150</xdr:rowOff>
    </xdr:from>
    <xdr:to>
      <xdr:col>4</xdr:col>
      <xdr:colOff>2426970</xdr:colOff>
      <xdr:row>7</xdr:row>
      <xdr:rowOff>57150</xdr:rowOff>
    </xdr:to>
    <xdr:cxnSp macro="">
      <xdr:nvCxnSpPr>
        <xdr:cNvPr id="50" name="Conector recto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CxnSpPr/>
      </xdr:nvCxnSpPr>
      <xdr:spPr>
        <a:xfrm flipV="1">
          <a:off x="361950" y="1743075"/>
          <a:ext cx="6646545" cy="0"/>
        </a:xfrm>
        <a:prstGeom prst="line">
          <a:avLst/>
        </a:prstGeom>
        <a:ln w="3175">
          <a:solidFill>
            <a:srgbClr val="0070C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250800</xdr:colOff>
      <xdr:row>23</xdr:row>
      <xdr:rowOff>106680</xdr:rowOff>
    </xdr:from>
    <xdr:to>
      <xdr:col>9</xdr:col>
      <xdr:colOff>1243</xdr:colOff>
      <xdr:row>25</xdr:row>
      <xdr:rowOff>38100</xdr:rowOff>
    </xdr:to>
    <xdr:sp macro="" textlink="">
      <xdr:nvSpPr>
        <xdr:cNvPr id="30" name="Rectángulo: esquinas redondeadas 2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6203925" y="3126105"/>
          <a:ext cx="988693" cy="274320"/>
        </a:xfrm>
        <a:prstGeom prst="roundRect">
          <a:avLst/>
        </a:prstGeom>
        <a:solidFill>
          <a:srgbClr val="00206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s-MX" sz="1100"/>
            <a:t>Siguiente </a:t>
          </a:r>
          <a:r>
            <a:rPr lang="es-MX" sz="1100">
              <a:sym typeface="Wingdings" panose="05000000000000000000" pitchFamily="2" charset="2"/>
            </a:rPr>
            <a:t></a:t>
          </a:r>
          <a:endParaRPr lang="es-MX" sz="1100"/>
        </a:p>
      </xdr:txBody>
    </xdr:sp>
    <xdr:clientData/>
  </xdr:twoCellAnchor>
  <xdr:twoCellAnchor editAs="absolute">
    <xdr:from>
      <xdr:col>2</xdr:col>
      <xdr:colOff>57227</xdr:colOff>
      <xdr:row>5</xdr:row>
      <xdr:rowOff>1666</xdr:rowOff>
    </xdr:from>
    <xdr:to>
      <xdr:col>2</xdr:col>
      <xdr:colOff>248805</xdr:colOff>
      <xdr:row>6</xdr:row>
      <xdr:rowOff>18841</xdr:rowOff>
    </xdr:to>
    <xdr:pic>
      <xdr:nvPicPr>
        <xdr:cNvPr id="35" name="Gráfico 34" descr="Carro de la compra con relleno sólido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31547" y="1298971"/>
          <a:ext cx="187768" cy="194340"/>
        </a:xfrm>
        <a:prstGeom prst="rect">
          <a:avLst/>
        </a:prstGeom>
      </xdr:spPr>
    </xdr:pic>
    <xdr:clientData/>
  </xdr:twoCellAnchor>
  <xdr:twoCellAnchor editAs="absolute">
    <xdr:from>
      <xdr:col>2</xdr:col>
      <xdr:colOff>285750</xdr:colOff>
      <xdr:row>4</xdr:row>
      <xdr:rowOff>93345</xdr:rowOff>
    </xdr:from>
    <xdr:to>
      <xdr:col>2</xdr:col>
      <xdr:colOff>1086610</xdr:colOff>
      <xdr:row>6</xdr:row>
      <xdr:rowOff>17233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560070" y="1287780"/>
          <a:ext cx="800860" cy="2210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es-MX" sz="1400" b="1">
              <a:solidFill>
                <a:schemeClr val="accent2"/>
              </a:solidFill>
            </a:rPr>
            <a:t>Materiales</a:t>
          </a:r>
        </a:p>
      </xdr:txBody>
    </xdr:sp>
    <xdr:clientData/>
  </xdr:twoCellAnchor>
  <xdr:twoCellAnchor editAs="oneCell">
    <xdr:from>
      <xdr:col>1</xdr:col>
      <xdr:colOff>1905</xdr:colOff>
      <xdr:row>23</xdr:row>
      <xdr:rowOff>102870</xdr:rowOff>
    </xdr:from>
    <xdr:to>
      <xdr:col>2</xdr:col>
      <xdr:colOff>855345</xdr:colOff>
      <xdr:row>25</xdr:row>
      <xdr:rowOff>38100</xdr:rowOff>
    </xdr:to>
    <xdr:sp macro="" textlink="">
      <xdr:nvSpPr>
        <xdr:cNvPr id="45" name="Rectángulo: esquinas redondeadas 4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63830" y="3122295"/>
          <a:ext cx="967740" cy="274320"/>
        </a:xfrm>
        <a:prstGeom prst="round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s-MX" sz="1100">
              <a:sym typeface="Wingdings" panose="05000000000000000000" pitchFamily="2" charset="2"/>
            </a:rPr>
            <a:t></a:t>
          </a:r>
          <a:r>
            <a:rPr lang="es-MX" sz="1100" baseline="0">
              <a:sym typeface="Wingdings" panose="05000000000000000000" pitchFamily="2" charset="2"/>
            </a:rPr>
            <a:t> Anterior</a:t>
          </a:r>
          <a:endParaRPr lang="es-MX" sz="1100"/>
        </a:p>
      </xdr:txBody>
    </xdr:sp>
    <xdr:clientData/>
  </xdr:twoCellAnchor>
  <xdr:twoCellAnchor>
    <xdr:from>
      <xdr:col>2</xdr:col>
      <xdr:colOff>20955</xdr:colOff>
      <xdr:row>7</xdr:row>
      <xdr:rowOff>26670</xdr:rowOff>
    </xdr:from>
    <xdr:to>
      <xdr:col>7</xdr:col>
      <xdr:colOff>0</xdr:colOff>
      <xdr:row>7</xdr:row>
      <xdr:rowOff>26670</xdr:rowOff>
    </xdr:to>
    <xdr:cxnSp macro="">
      <xdr:nvCxnSpPr>
        <xdr:cNvPr id="38" name="Conector recto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CxnSpPr/>
      </xdr:nvCxnSpPr>
      <xdr:spPr>
        <a:xfrm flipV="1">
          <a:off x="295275" y="1573530"/>
          <a:ext cx="6654165" cy="0"/>
        </a:xfrm>
        <a:prstGeom prst="line">
          <a:avLst/>
        </a:prstGeom>
        <a:ln w="3175">
          <a:solidFill>
            <a:schemeClr val="accent2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0</xdr:colOff>
      <xdr:row>1</xdr:row>
      <xdr:rowOff>74394</xdr:rowOff>
    </xdr:from>
    <xdr:to>
      <xdr:col>6</xdr:col>
      <xdr:colOff>323586</xdr:colOff>
      <xdr:row>3</xdr:row>
      <xdr:rowOff>94870</xdr:rowOff>
    </xdr:to>
    <xdr:grpSp>
      <xdr:nvGrpSpPr>
        <xdr:cNvPr id="74" name="Grupo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GrpSpPr/>
      </xdr:nvGrpSpPr>
      <xdr:grpSpPr>
        <a:xfrm>
          <a:off x="152400" y="211554"/>
          <a:ext cx="5806176" cy="892966"/>
          <a:chOff x="161925" y="212186"/>
          <a:chExt cx="6389667" cy="909448"/>
        </a:xfrm>
      </xdr:grpSpPr>
      <xdr:grpSp>
        <xdr:nvGrpSpPr>
          <xdr:cNvPr id="77" name="Grupo 76">
            <a:extLst>
              <a:ext uri="{FF2B5EF4-FFF2-40B4-BE49-F238E27FC236}">
                <a16:creationId xmlns:a16="http://schemas.microsoft.com/office/drawing/2014/main" id="{00000000-0008-0000-0100-00004D000000}"/>
              </a:ext>
            </a:extLst>
          </xdr:cNvPr>
          <xdr:cNvGrpSpPr/>
        </xdr:nvGrpSpPr>
        <xdr:grpSpPr>
          <a:xfrm>
            <a:off x="161925" y="879470"/>
            <a:ext cx="1096039" cy="233063"/>
            <a:chOff x="299084" y="926416"/>
            <a:chExt cx="1089515" cy="232850"/>
          </a:xfrm>
        </xdr:grpSpPr>
        <xdr:sp macro="" textlink="">
          <xdr:nvSpPr>
            <xdr:cNvPr id="103" name="Rectángulo 10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100-000067000000}"/>
                </a:ext>
              </a:extLst>
            </xdr:cNvPr>
            <xdr:cNvSpPr/>
          </xdr:nvSpPr>
          <xdr:spPr>
            <a:xfrm>
              <a:off x="300405" y="926416"/>
              <a:ext cx="1088194" cy="2328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 anchorCtr="0"/>
            <a:lstStyle/>
            <a:p>
              <a:pPr algn="l"/>
              <a:r>
                <a:rPr lang="es-MX" sz="1100" b="1">
                  <a:solidFill>
                    <a:schemeClr val="bg2">
                      <a:lumMod val="75000"/>
                    </a:schemeClr>
                  </a:solidFill>
                </a:rPr>
                <a:t>        Información </a:t>
              </a:r>
            </a:p>
          </xdr:txBody>
        </xdr:sp>
        <xdr:pic>
          <xdr:nvPicPr>
            <xdr:cNvPr id="104" name="Imagen 103" descr="Icono Informacion Vectores, Iconos, Gráficos y Fondos para Descargar Gratis">
              <a:extLst>
                <a:ext uri="{FF2B5EF4-FFF2-40B4-BE49-F238E27FC236}">
                  <a16:creationId xmlns:a16="http://schemas.microsoft.com/office/drawing/2014/main" id="{00000000-0008-0000-0100-000068000000}"/>
                </a:ext>
              </a:extLst>
            </xdr:cNvPr>
            <xdr:cNvPicPr preferRelativeResize="0">
              <a:picLocks noChangeArrowheads="1"/>
            </xdr:cNvPicPr>
          </xdr:nvPicPr>
          <xdr:blipFill rotWithShape="1">
            <a:blip xmlns:r="http://schemas.openxmlformats.org/officeDocument/2006/relationships" r:embed="rId5" cstate="print">
              <a:clrChange>
                <a:clrFrom>
                  <a:srgbClr val="FFFFFF"/>
                </a:clrFrom>
                <a:clrTo>
                  <a:srgbClr val="FFFFFF">
                    <a:alpha val="0"/>
                  </a:srgbClr>
                </a:clrTo>
              </a:clrChange>
              <a:duotone>
                <a:schemeClr val="bg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52421" t="18065" r="6002" b="19314"/>
            <a:stretch/>
          </xdr:blipFill>
          <xdr:spPr bwMode="auto">
            <a:xfrm>
              <a:off x="387627" y="972870"/>
              <a:ext cx="143022" cy="146538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cxnSp macro="">
          <xdr:nvCxnSpPr>
            <xdr:cNvPr id="105" name="Conector recto 104">
              <a:extLst>
                <a:ext uri="{FF2B5EF4-FFF2-40B4-BE49-F238E27FC236}">
                  <a16:creationId xmlns:a16="http://schemas.microsoft.com/office/drawing/2014/main" id="{00000000-0008-0000-0100-000069000000}"/>
                </a:ext>
              </a:extLst>
            </xdr:cNvPr>
            <xdr:cNvCxnSpPr/>
          </xdr:nvCxnSpPr>
          <xdr:spPr>
            <a:xfrm>
              <a:off x="299084" y="1154137"/>
              <a:ext cx="1078378" cy="0"/>
            </a:xfrm>
            <a:prstGeom prst="line">
              <a:avLst/>
            </a:prstGeom>
            <a:ln w="9525">
              <a:solidFill>
                <a:schemeClr val="bg2">
                  <a:lumMod val="75000"/>
                </a:schemeClr>
              </a:solidFill>
            </a:ln>
          </xdr:spPr>
          <xdr:style>
            <a:lnRef idx="2">
              <a:schemeClr val="accent1"/>
            </a:lnRef>
            <a:fillRef idx="0">
              <a:schemeClr val="accent1"/>
            </a:fillRef>
            <a:effectRef idx="1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78" name="Grupo 7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100-00004E000000}"/>
              </a:ext>
            </a:extLst>
          </xdr:cNvPr>
          <xdr:cNvGrpSpPr/>
        </xdr:nvGrpSpPr>
        <xdr:grpSpPr>
          <a:xfrm>
            <a:off x="4858493" y="876209"/>
            <a:ext cx="762329" cy="240683"/>
            <a:chOff x="1394313" y="929933"/>
            <a:chExt cx="1089515" cy="234755"/>
          </a:xfrm>
        </xdr:grpSpPr>
        <xdr:sp macro="" textlink="">
          <xdr:nvSpPr>
            <xdr:cNvPr id="101" name="Rectángulo 100">
              <a:extLst>
                <a:ext uri="{FF2B5EF4-FFF2-40B4-BE49-F238E27FC236}">
                  <a16:creationId xmlns:a16="http://schemas.microsoft.com/office/drawing/2014/main" id="{00000000-0008-0000-0100-000065000000}"/>
                </a:ext>
              </a:extLst>
            </xdr:cNvPr>
            <xdr:cNvSpPr/>
          </xdr:nvSpPr>
          <xdr:spPr>
            <a:xfrm>
              <a:off x="1395634" y="929933"/>
              <a:ext cx="1088194" cy="234755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 anchorCtr="0"/>
            <a:lstStyle/>
            <a:p>
              <a:pPr algn="ctr"/>
              <a:r>
                <a:rPr lang="es-MX" sz="1100" b="1">
                  <a:solidFill>
                    <a:schemeClr val="bg2">
                      <a:lumMod val="75000"/>
                    </a:schemeClr>
                  </a:solidFill>
                </a:rPr>
                <a:t>% Utilidad</a:t>
              </a:r>
            </a:p>
          </xdr:txBody>
        </xdr:sp>
        <xdr:cxnSp macro="">
          <xdr:nvCxnSpPr>
            <xdr:cNvPr id="102" name="Conector recto 101">
              <a:extLst>
                <a:ext uri="{FF2B5EF4-FFF2-40B4-BE49-F238E27FC236}">
                  <a16:creationId xmlns:a16="http://schemas.microsoft.com/office/drawing/2014/main" id="{00000000-0008-0000-0100-000066000000}"/>
                </a:ext>
              </a:extLst>
            </xdr:cNvPr>
            <xdr:cNvCxnSpPr/>
          </xdr:nvCxnSpPr>
          <xdr:spPr>
            <a:xfrm>
              <a:off x="1394313" y="1157654"/>
              <a:ext cx="1072663" cy="0"/>
            </a:xfrm>
            <a:prstGeom prst="line">
              <a:avLst/>
            </a:prstGeom>
            <a:ln w="12700">
              <a:solidFill>
                <a:schemeClr val="bg2">
                  <a:lumMod val="75000"/>
                </a:schemeClr>
              </a:solidFill>
            </a:ln>
          </xdr:spPr>
          <xdr:style>
            <a:lnRef idx="2">
              <a:schemeClr val="accent1"/>
            </a:lnRef>
            <a:fillRef idx="0">
              <a:schemeClr val="accent1"/>
            </a:fillRef>
            <a:effectRef idx="1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79" name="Grupo 78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100-00004F000000}"/>
              </a:ext>
            </a:extLst>
          </xdr:cNvPr>
          <xdr:cNvGrpSpPr/>
        </xdr:nvGrpSpPr>
        <xdr:grpSpPr>
          <a:xfrm>
            <a:off x="2416003" y="875297"/>
            <a:ext cx="1105414" cy="246337"/>
            <a:chOff x="2398879" y="938714"/>
            <a:chExt cx="1087610" cy="230945"/>
          </a:xfrm>
        </xdr:grpSpPr>
        <xdr:grpSp>
          <xdr:nvGrpSpPr>
            <xdr:cNvPr id="97" name="Grupo 96">
              <a:extLst>
                <a:ext uri="{FF2B5EF4-FFF2-40B4-BE49-F238E27FC236}">
                  <a16:creationId xmlns:a16="http://schemas.microsoft.com/office/drawing/2014/main" id="{00000000-0008-0000-0100-000061000000}"/>
                </a:ext>
              </a:extLst>
            </xdr:cNvPr>
            <xdr:cNvGrpSpPr/>
          </xdr:nvGrpSpPr>
          <xdr:grpSpPr>
            <a:xfrm>
              <a:off x="2398879" y="934904"/>
              <a:ext cx="1091420" cy="230945"/>
              <a:chOff x="1394313" y="929933"/>
              <a:chExt cx="1089515" cy="234755"/>
            </a:xfrm>
          </xdr:grpSpPr>
          <xdr:sp macro="" textlink="">
            <xdr:nvSpPr>
              <xdr:cNvPr id="99" name="Rectángulo 98">
                <a:extLst>
                  <a:ext uri="{FF2B5EF4-FFF2-40B4-BE49-F238E27FC236}">
                    <a16:creationId xmlns:a16="http://schemas.microsoft.com/office/drawing/2014/main" id="{00000000-0008-0000-0100-000063000000}"/>
                  </a:ext>
                </a:extLst>
              </xdr:cNvPr>
              <xdr:cNvSpPr/>
            </xdr:nvSpPr>
            <xdr:spPr>
              <a:xfrm>
                <a:off x="1395634" y="929933"/>
                <a:ext cx="1088194" cy="234755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 anchorCtr="0"/>
              <a:lstStyle/>
              <a:p>
                <a:pPr algn="ctr"/>
                <a:r>
                  <a:rPr lang="es-MX" sz="1100" b="1">
                    <a:solidFill>
                      <a:schemeClr val="bg2">
                        <a:lumMod val="75000"/>
                      </a:schemeClr>
                    </a:solidFill>
                  </a:rPr>
                  <a:t>      Mano de Obra</a:t>
                </a:r>
              </a:p>
            </xdr:txBody>
          </xdr:sp>
          <xdr:cxnSp macro="">
            <xdr:nvCxnSpPr>
              <xdr:cNvPr id="100" name="Conector recto 99">
                <a:extLst>
                  <a:ext uri="{FF2B5EF4-FFF2-40B4-BE49-F238E27FC236}">
                    <a16:creationId xmlns:a16="http://schemas.microsoft.com/office/drawing/2014/main" id="{00000000-0008-0000-0100-000064000000}"/>
                  </a:ext>
                </a:extLst>
              </xdr:cNvPr>
              <xdr:cNvCxnSpPr/>
            </xdr:nvCxnSpPr>
            <xdr:spPr>
              <a:xfrm>
                <a:off x="1394313" y="1157654"/>
                <a:ext cx="1072663" cy="0"/>
              </a:xfrm>
              <a:prstGeom prst="line">
                <a:avLst/>
              </a:prstGeom>
              <a:ln w="12700">
                <a:solidFill>
                  <a:schemeClr val="bg2">
                    <a:lumMod val="75000"/>
                  </a:schemeClr>
                </a:solidFill>
              </a:ln>
            </xdr:spPr>
            <xdr:style>
              <a:lnRef idx="2">
                <a:schemeClr val="accent1"/>
              </a:lnRef>
              <a:fillRef idx="0">
                <a:schemeClr val="accent1"/>
              </a:fillRef>
              <a:effectRef idx="1">
                <a:schemeClr val="accent1"/>
              </a:effectRef>
              <a:fontRef idx="minor">
                <a:schemeClr val="tx1"/>
              </a:fontRef>
            </xdr:style>
          </xdr:cxnSp>
        </xdr:grpSp>
        <xdr:pic>
          <xdr:nvPicPr>
            <xdr:cNvPr id="98" name="Imagen 97">
              <a:extLst>
                <a:ext uri="{FF2B5EF4-FFF2-40B4-BE49-F238E27FC236}">
                  <a16:creationId xmlns:a16="http://schemas.microsoft.com/office/drawing/2014/main" id="{00000000-0008-0000-0100-00006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clrChange>
                <a:clrFrom>
                  <a:srgbClr val="FFFFFF"/>
                </a:clrFrom>
                <a:clrTo>
                  <a:srgbClr val="FFFFFF">
                    <a:alpha val="0"/>
                  </a:srgbClr>
                </a:clrTo>
              </a:clrChange>
              <a:duotone>
                <a:schemeClr val="bg2">
                  <a:shade val="45000"/>
                  <a:satMod val="135000"/>
                </a:schemeClr>
                <a:prstClr val="white"/>
              </a:duotone>
            </a:blip>
            <a:stretch>
              <a:fillRect/>
            </a:stretch>
          </xdr:blipFill>
          <xdr:spPr>
            <a:xfrm flipH="1">
              <a:off x="2423351" y="973789"/>
              <a:ext cx="190793" cy="157769"/>
            </a:xfrm>
            <a:prstGeom prst="rect">
              <a:avLst/>
            </a:prstGeom>
          </xdr:spPr>
        </xdr:pic>
      </xdr:grpSp>
      <xdr:grpSp>
        <xdr:nvGrpSpPr>
          <xdr:cNvPr id="80" name="Grupo 79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100-000050000000}"/>
              </a:ext>
            </a:extLst>
          </xdr:cNvPr>
          <xdr:cNvGrpSpPr/>
        </xdr:nvGrpSpPr>
        <xdr:grpSpPr>
          <a:xfrm>
            <a:off x="3552495" y="871940"/>
            <a:ext cx="1281355" cy="240683"/>
            <a:chOff x="3508028" y="937541"/>
            <a:chExt cx="1274885" cy="229040"/>
          </a:xfrm>
        </xdr:grpSpPr>
        <xdr:grpSp>
          <xdr:nvGrpSpPr>
            <xdr:cNvPr id="93" name="Grupo 92">
              <a:extLst>
                <a:ext uri="{FF2B5EF4-FFF2-40B4-BE49-F238E27FC236}">
                  <a16:creationId xmlns:a16="http://schemas.microsoft.com/office/drawing/2014/main" id="{00000000-0008-0000-0100-00005D000000}"/>
                </a:ext>
              </a:extLst>
            </xdr:cNvPr>
            <xdr:cNvGrpSpPr/>
          </xdr:nvGrpSpPr>
          <xdr:grpSpPr>
            <a:xfrm>
              <a:off x="3508028" y="937541"/>
              <a:ext cx="1274885" cy="229040"/>
              <a:chOff x="1394313" y="929933"/>
              <a:chExt cx="1089515" cy="234755"/>
            </a:xfrm>
          </xdr:grpSpPr>
          <xdr:sp macro="" textlink="">
            <xdr:nvSpPr>
              <xdr:cNvPr id="95" name="Rectángulo 94">
                <a:extLst>
                  <a:ext uri="{FF2B5EF4-FFF2-40B4-BE49-F238E27FC236}">
                    <a16:creationId xmlns:a16="http://schemas.microsoft.com/office/drawing/2014/main" id="{00000000-0008-0000-0100-00005F000000}"/>
                  </a:ext>
                </a:extLst>
              </xdr:cNvPr>
              <xdr:cNvSpPr/>
            </xdr:nvSpPr>
            <xdr:spPr>
              <a:xfrm>
                <a:off x="1395634" y="929933"/>
                <a:ext cx="1088194" cy="234755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 anchorCtr="0"/>
              <a:lstStyle/>
              <a:p>
                <a:pPr algn="ctr"/>
                <a:r>
                  <a:rPr lang="es-MX" sz="1100" b="1">
                    <a:solidFill>
                      <a:schemeClr val="bg2">
                        <a:lumMod val="75000"/>
                      </a:schemeClr>
                    </a:solidFill>
                  </a:rPr>
                  <a:t>      Costos</a:t>
                </a:r>
                <a:r>
                  <a:rPr lang="es-MX" sz="1100" b="1" baseline="0">
                    <a:solidFill>
                      <a:schemeClr val="bg2">
                        <a:lumMod val="75000"/>
                      </a:schemeClr>
                    </a:solidFill>
                  </a:rPr>
                  <a:t> Indirectos</a:t>
                </a:r>
                <a:endParaRPr lang="es-MX" sz="1100" b="1">
                  <a:solidFill>
                    <a:schemeClr val="bg2">
                      <a:lumMod val="75000"/>
                    </a:schemeClr>
                  </a:solidFill>
                </a:endParaRPr>
              </a:p>
            </xdr:txBody>
          </xdr:sp>
          <xdr:cxnSp macro="">
            <xdr:nvCxnSpPr>
              <xdr:cNvPr id="96" name="Conector recto 95">
                <a:extLst>
                  <a:ext uri="{FF2B5EF4-FFF2-40B4-BE49-F238E27FC236}">
                    <a16:creationId xmlns:a16="http://schemas.microsoft.com/office/drawing/2014/main" id="{00000000-0008-0000-0100-000060000000}"/>
                  </a:ext>
                </a:extLst>
              </xdr:cNvPr>
              <xdr:cNvCxnSpPr/>
            </xdr:nvCxnSpPr>
            <xdr:spPr>
              <a:xfrm>
                <a:off x="1394313" y="1157654"/>
                <a:ext cx="1072663" cy="0"/>
              </a:xfrm>
              <a:prstGeom prst="line">
                <a:avLst/>
              </a:prstGeom>
              <a:ln w="12700">
                <a:solidFill>
                  <a:schemeClr val="bg2">
                    <a:lumMod val="75000"/>
                  </a:schemeClr>
                </a:solidFill>
              </a:ln>
            </xdr:spPr>
            <xdr:style>
              <a:lnRef idx="2">
                <a:schemeClr val="accent1"/>
              </a:lnRef>
              <a:fillRef idx="0">
                <a:schemeClr val="accent1"/>
              </a:fillRef>
              <a:effectRef idx="1">
                <a:schemeClr val="accent1"/>
              </a:effectRef>
              <a:fontRef idx="minor">
                <a:schemeClr val="tx1"/>
              </a:fontRef>
            </xdr:style>
          </xdr:cxnSp>
        </xdr:grpSp>
        <xdr:pic>
          <xdr:nvPicPr>
            <xdr:cNvPr id="94" name="Gráfico 93" descr="Monedas con relleno sólido">
              <a:extLst>
                <a:ext uri="{FF2B5EF4-FFF2-40B4-BE49-F238E27FC236}">
                  <a16:creationId xmlns:a16="http://schemas.microsoft.com/office/drawing/2014/main" id="{00000000-0008-0000-0100-00005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tretch>
              <a:fillRect/>
            </a:stretch>
          </xdr:blipFill>
          <xdr:spPr>
            <a:xfrm flipH="1">
              <a:off x="3529589" y="941774"/>
              <a:ext cx="185259" cy="203816"/>
            </a:xfrm>
            <a:prstGeom prst="rect">
              <a:avLst/>
            </a:prstGeom>
          </xdr:spPr>
        </xdr:pic>
      </xdr:grpSp>
      <xdr:grpSp>
        <xdr:nvGrpSpPr>
          <xdr:cNvPr id="81" name="Grupo 8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100-000051000000}"/>
              </a:ext>
            </a:extLst>
          </xdr:cNvPr>
          <xdr:cNvGrpSpPr/>
        </xdr:nvGrpSpPr>
        <xdr:grpSpPr>
          <a:xfrm>
            <a:off x="5641325" y="879750"/>
            <a:ext cx="910267" cy="233355"/>
            <a:chOff x="5582531" y="937541"/>
            <a:chExt cx="894469" cy="232850"/>
          </a:xfrm>
        </xdr:grpSpPr>
        <xdr:grpSp>
          <xdr:nvGrpSpPr>
            <xdr:cNvPr id="89" name="Grupo 88">
              <a:extLst>
                <a:ext uri="{FF2B5EF4-FFF2-40B4-BE49-F238E27FC236}">
                  <a16:creationId xmlns:a16="http://schemas.microsoft.com/office/drawing/2014/main" id="{00000000-0008-0000-0100-000059000000}"/>
                </a:ext>
              </a:extLst>
            </xdr:cNvPr>
            <xdr:cNvGrpSpPr/>
          </xdr:nvGrpSpPr>
          <xdr:grpSpPr>
            <a:xfrm>
              <a:off x="5582531" y="937541"/>
              <a:ext cx="894469" cy="232850"/>
              <a:chOff x="1394313" y="929933"/>
              <a:chExt cx="1089515" cy="234755"/>
            </a:xfrm>
          </xdr:grpSpPr>
          <xdr:sp macro="" textlink="">
            <xdr:nvSpPr>
              <xdr:cNvPr id="91" name="Rectángulo 90">
                <a:extLst>
                  <a:ext uri="{FF2B5EF4-FFF2-40B4-BE49-F238E27FC236}">
                    <a16:creationId xmlns:a16="http://schemas.microsoft.com/office/drawing/2014/main" id="{00000000-0008-0000-0100-00005B000000}"/>
                  </a:ext>
                </a:extLst>
              </xdr:cNvPr>
              <xdr:cNvSpPr/>
            </xdr:nvSpPr>
            <xdr:spPr>
              <a:xfrm>
                <a:off x="1395634" y="929933"/>
                <a:ext cx="1088194" cy="234755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 anchorCtr="0"/>
              <a:lstStyle/>
              <a:p>
                <a:pPr algn="ctr"/>
                <a:r>
                  <a:rPr lang="es-MX" sz="1100" b="1">
                    <a:solidFill>
                      <a:schemeClr val="bg2">
                        <a:lumMod val="75000"/>
                      </a:schemeClr>
                    </a:solidFill>
                  </a:rPr>
                  <a:t>     Resumen</a:t>
                </a:r>
              </a:p>
            </xdr:txBody>
          </xdr:sp>
          <xdr:cxnSp macro="">
            <xdr:nvCxnSpPr>
              <xdr:cNvPr id="92" name="Conector recto 91">
                <a:extLst>
                  <a:ext uri="{FF2B5EF4-FFF2-40B4-BE49-F238E27FC236}">
                    <a16:creationId xmlns:a16="http://schemas.microsoft.com/office/drawing/2014/main" id="{00000000-0008-0000-0100-00005C000000}"/>
                  </a:ext>
                </a:extLst>
              </xdr:cNvPr>
              <xdr:cNvCxnSpPr/>
            </xdr:nvCxnSpPr>
            <xdr:spPr>
              <a:xfrm>
                <a:off x="1394313" y="1157654"/>
                <a:ext cx="1072663" cy="0"/>
              </a:xfrm>
              <a:prstGeom prst="line">
                <a:avLst/>
              </a:prstGeom>
              <a:ln w="12700">
                <a:solidFill>
                  <a:schemeClr val="bg2">
                    <a:lumMod val="75000"/>
                  </a:schemeClr>
                </a:solidFill>
              </a:ln>
            </xdr:spPr>
            <xdr:style>
              <a:lnRef idx="2">
                <a:schemeClr val="accent1"/>
              </a:lnRef>
              <a:fillRef idx="0">
                <a:schemeClr val="accent1"/>
              </a:fillRef>
              <a:effectRef idx="1">
                <a:schemeClr val="accent1"/>
              </a:effectRef>
              <a:fontRef idx="minor">
                <a:schemeClr val="tx1"/>
              </a:fontRef>
            </xdr:style>
          </xdr:cxnSp>
        </xdr:grpSp>
        <xdr:pic>
          <xdr:nvPicPr>
            <xdr:cNvPr id="90" name="Gráfico 89" descr="Lista con relleno sólido">
              <a:extLst>
                <a:ext uri="{FF2B5EF4-FFF2-40B4-BE49-F238E27FC236}">
                  <a16:creationId xmlns:a16="http://schemas.microsoft.com/office/drawing/2014/main" id="{00000000-0008-0000-0100-00005A000000}"/>
                </a:ext>
              </a:extLst>
            </xdr:cNvPr>
            <xdr:cNvPicPr preferRelativeResize="0">
              <a:picLocks/>
            </xdr:cNvPicPr>
          </xdr:nvPicPr>
          <xdr:blipFill>
            <a:blip xmlns:r="http://schemas.openxmlformats.org/officeDocument/2006/relationships" r:embed="rId1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3"/>
                </a:ext>
              </a:extLst>
            </a:blip>
            <a:stretch>
              <a:fillRect/>
            </a:stretch>
          </xdr:blipFill>
          <xdr:spPr>
            <a:xfrm>
              <a:off x="5658511" y="956163"/>
              <a:ext cx="179125" cy="189597"/>
            </a:xfrm>
            <a:prstGeom prst="rect">
              <a:avLst/>
            </a:prstGeom>
          </xdr:spPr>
        </xdr:pic>
      </xdr:grpSp>
      <xdr:grpSp>
        <xdr:nvGrpSpPr>
          <xdr:cNvPr id="82" name="Grupo 81">
            <a:extLst>
              <a:ext uri="{FF2B5EF4-FFF2-40B4-BE49-F238E27FC236}">
                <a16:creationId xmlns:a16="http://schemas.microsoft.com/office/drawing/2014/main" id="{00000000-0008-0000-0100-000052000000}"/>
              </a:ext>
            </a:extLst>
          </xdr:cNvPr>
          <xdr:cNvGrpSpPr/>
        </xdr:nvGrpSpPr>
        <xdr:grpSpPr>
          <a:xfrm>
            <a:off x="1287569" y="879470"/>
            <a:ext cx="1095896" cy="225566"/>
            <a:chOff x="1290169" y="941058"/>
            <a:chExt cx="1095230" cy="225230"/>
          </a:xfrm>
        </xdr:grpSpPr>
        <xdr:grpSp>
          <xdr:nvGrpSpPr>
            <xdr:cNvPr id="85" name="Grupo 84">
              <a:extLst>
                <a:ext uri="{FF2B5EF4-FFF2-40B4-BE49-F238E27FC236}">
                  <a16:creationId xmlns:a16="http://schemas.microsoft.com/office/drawing/2014/main" id="{00000000-0008-0000-0100-000055000000}"/>
                </a:ext>
              </a:extLst>
            </xdr:cNvPr>
            <xdr:cNvGrpSpPr/>
          </xdr:nvGrpSpPr>
          <xdr:grpSpPr>
            <a:xfrm>
              <a:off x="1288264" y="937248"/>
              <a:ext cx="1093325" cy="232850"/>
              <a:chOff x="1394313" y="928000"/>
              <a:chExt cx="1089515" cy="232882"/>
            </a:xfrm>
          </xdr:grpSpPr>
          <xdr:sp macro="" textlink="">
            <xdr:nvSpPr>
              <xdr:cNvPr id="87" name="Rectángulo 86">
                <a:hlinkClick xmlns:r="http://schemas.openxmlformats.org/officeDocument/2006/relationships" r:id="rId14"/>
                <a:extLst>
                  <a:ext uri="{FF2B5EF4-FFF2-40B4-BE49-F238E27FC236}">
                    <a16:creationId xmlns:a16="http://schemas.microsoft.com/office/drawing/2014/main" id="{00000000-0008-0000-0100-000057000000}"/>
                  </a:ext>
                </a:extLst>
              </xdr:cNvPr>
              <xdr:cNvSpPr/>
            </xdr:nvSpPr>
            <xdr:spPr>
              <a:xfrm>
                <a:off x="1399439" y="928000"/>
                <a:ext cx="1084389" cy="232882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 anchorCtr="0"/>
              <a:lstStyle/>
              <a:p>
                <a:pPr algn="ctr"/>
                <a:r>
                  <a:rPr lang="es-MX" sz="1100" b="1">
                    <a:solidFill>
                      <a:schemeClr val="accent2"/>
                    </a:solidFill>
                  </a:rPr>
                  <a:t>     Materiales</a:t>
                </a:r>
              </a:p>
            </xdr:txBody>
          </xdr:sp>
          <xdr:cxnSp macro="">
            <xdr:nvCxnSpPr>
              <xdr:cNvPr id="88" name="Conector recto 87">
                <a:extLst>
                  <a:ext uri="{FF2B5EF4-FFF2-40B4-BE49-F238E27FC236}">
                    <a16:creationId xmlns:a16="http://schemas.microsoft.com/office/drawing/2014/main" id="{00000000-0008-0000-0100-000058000000}"/>
                  </a:ext>
                </a:extLst>
              </xdr:cNvPr>
              <xdr:cNvCxnSpPr/>
            </xdr:nvCxnSpPr>
            <xdr:spPr>
              <a:xfrm>
                <a:off x="1394313" y="1157654"/>
                <a:ext cx="1072663" cy="0"/>
              </a:xfrm>
              <a:prstGeom prst="line">
                <a:avLst/>
              </a:prstGeom>
              <a:ln w="28575">
                <a:solidFill>
                  <a:schemeClr val="accent2"/>
                </a:solidFill>
              </a:ln>
            </xdr:spPr>
            <xdr:style>
              <a:lnRef idx="2">
                <a:schemeClr val="accent1"/>
              </a:lnRef>
              <a:fillRef idx="0">
                <a:schemeClr val="accent1"/>
              </a:fillRef>
              <a:effectRef idx="1">
                <a:schemeClr val="accent1"/>
              </a:effectRef>
              <a:fontRef idx="minor">
                <a:schemeClr val="tx1"/>
              </a:fontRef>
            </xdr:style>
          </xdr:cxnSp>
        </xdr:grpSp>
        <xdr:pic>
          <xdr:nvPicPr>
            <xdr:cNvPr id="86" name="Gráfico 85" descr="Carro de la compra con relleno sólido">
              <a:extLst>
                <a:ext uri="{FF2B5EF4-FFF2-40B4-BE49-F238E27FC236}">
                  <a16:creationId xmlns:a16="http://schemas.microsoft.com/office/drawing/2014/main" id="{00000000-0008-0000-0100-00005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5"/>
                </a:ext>
              </a:extLst>
            </a:blip>
            <a:stretch>
              <a:fillRect/>
            </a:stretch>
          </xdr:blipFill>
          <xdr:spPr>
            <a:xfrm>
              <a:off x="1391225" y="961041"/>
              <a:ext cx="195388" cy="189205"/>
            </a:xfrm>
            <a:prstGeom prst="rect">
              <a:avLst/>
            </a:prstGeom>
          </xdr:spPr>
        </xdr:pic>
      </xdr:grpSp>
      <xdr:pic>
        <xdr:nvPicPr>
          <xdr:cNvPr id="83" name="Imagen 82">
            <a:extLst>
              <a:ext uri="{FF2B5EF4-FFF2-40B4-BE49-F238E27FC236}">
                <a16:creationId xmlns:a16="http://schemas.microsoft.com/office/drawing/2014/main" id="{00000000-0008-0000-0100-00005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 bwMode="auto">
          <a:xfrm>
            <a:off x="162221" y="215703"/>
            <a:ext cx="453506" cy="44928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84" name="Rectángulo 83">
            <a:extLst>
              <a:ext uri="{FF2B5EF4-FFF2-40B4-BE49-F238E27FC236}">
                <a16:creationId xmlns:a16="http://schemas.microsoft.com/office/drawing/2014/main" id="{00000000-0008-0000-0100-000054000000}"/>
              </a:ext>
            </a:extLst>
          </xdr:cNvPr>
          <xdr:cNvSpPr/>
        </xdr:nvSpPr>
        <xdr:spPr>
          <a:xfrm>
            <a:off x="572643" y="212186"/>
            <a:ext cx="4077288" cy="45793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l"/>
            <a:r>
              <a:rPr lang="es-MX" sz="1600" b="1" i="0" u="none">
                <a:solidFill>
                  <a:sysClr val="windowText" lastClr="000000"/>
                </a:solidFill>
              </a:rPr>
              <a:t>Plantilla</a:t>
            </a:r>
            <a:r>
              <a:rPr lang="es-MX" sz="1600" b="1" i="0" u="none" baseline="0">
                <a:solidFill>
                  <a:sysClr val="windowText" lastClr="000000"/>
                </a:solidFill>
              </a:rPr>
              <a:t> Inteligente de Muebles</a:t>
            </a:r>
            <a:endParaRPr lang="es-MX" sz="1600" b="1" i="0" u="none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4</xdr:col>
      <xdr:colOff>179070</xdr:colOff>
      <xdr:row>5</xdr:row>
      <xdr:rowOff>1</xdr:rowOff>
    </xdr:from>
    <xdr:to>
      <xdr:col>5</xdr:col>
      <xdr:colOff>497203</xdr:colOff>
      <xdr:row>6</xdr:row>
      <xdr:rowOff>36931</xdr:rowOff>
    </xdr:to>
    <xdr:sp macro="[0]!Agregar_Material" textlink="">
      <xdr:nvSpPr>
        <xdr:cNvPr id="52" name="Rectángulo: esquinas redondeadas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4560570" y="1304926"/>
          <a:ext cx="1162048" cy="208380"/>
        </a:xfrm>
        <a:prstGeom prst="roundRect">
          <a:avLst/>
        </a:prstGeom>
        <a:solidFill>
          <a:srgbClr val="00B05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s-MX" sz="1050"/>
            <a:t>Agregar material </a:t>
          </a:r>
          <a:r>
            <a:rPr lang="es-MX" sz="1050">
              <a:sym typeface="Wingdings 2" panose="05020102010507070707" pitchFamily="18" charset="2"/>
            </a:rPr>
            <a:t></a:t>
          </a:r>
          <a:endParaRPr lang="es-MX" sz="1050"/>
        </a:p>
      </xdr:txBody>
    </xdr:sp>
    <xdr:clientData/>
  </xdr:twoCellAnchor>
  <xdr:twoCellAnchor editAs="oneCell">
    <xdr:from>
      <xdr:col>5</xdr:col>
      <xdr:colOff>563880</xdr:colOff>
      <xdr:row>5</xdr:row>
      <xdr:rowOff>1</xdr:rowOff>
    </xdr:from>
    <xdr:to>
      <xdr:col>7</xdr:col>
      <xdr:colOff>20953</xdr:colOff>
      <xdr:row>6</xdr:row>
      <xdr:rowOff>38836</xdr:rowOff>
    </xdr:to>
    <xdr:sp macro="[0]!Eliminar_Material" textlink="">
      <xdr:nvSpPr>
        <xdr:cNvPr id="40" name="Rectángulo: esquinas redondeadas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5793105" y="1304926"/>
          <a:ext cx="1183003" cy="206475"/>
        </a:xfrm>
        <a:prstGeom prst="roundRect">
          <a:avLst/>
        </a:prstGeom>
        <a:solidFill>
          <a:srgbClr val="C0000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s-MX" sz="1050"/>
            <a:t>Eliminar material </a:t>
          </a:r>
          <a:r>
            <a:rPr lang="es-MX" sz="1050">
              <a:latin typeface="Wide Latin" panose="020A0A07050505020404" pitchFamily="18" charset="0"/>
              <a:ea typeface="Calibri" panose="020F0502020204030204" pitchFamily="34" charset="0"/>
              <a:cs typeface="Calibri" panose="020F0502020204030204" pitchFamily="34" charset="0"/>
              <a:sym typeface="Wingdings 2" panose="05020102010507070707" pitchFamily="18" charset="2"/>
            </a:rPr>
            <a:t>–</a:t>
          </a:r>
          <a:endParaRPr lang="es-MX" sz="1050"/>
        </a:p>
      </xdr:txBody>
    </xdr:sp>
    <xdr:clientData/>
  </xdr:twoCellAnchor>
  <xdr:twoCellAnchor editAs="oneCell">
    <xdr:from>
      <xdr:col>2</xdr:col>
      <xdr:colOff>3076575</xdr:colOff>
      <xdr:row>4</xdr:row>
      <xdr:rowOff>120015</xdr:rowOff>
    </xdr:from>
    <xdr:to>
      <xdr:col>4</xdr:col>
      <xdr:colOff>95250</xdr:colOff>
      <xdr:row>6</xdr:row>
      <xdr:rowOff>36195</xdr:rowOff>
    </xdr:to>
    <xdr:sp macro="[0]!Limpíar_Campos_Material" textlink="">
      <xdr:nvSpPr>
        <xdr:cNvPr id="41" name="Rectángulo: esquinas redondeadas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3352800" y="1301115"/>
          <a:ext cx="1110615" cy="215265"/>
        </a:xfrm>
        <a:prstGeom prst="roundRect">
          <a:avLst/>
        </a:prstGeom>
        <a:solidFill>
          <a:srgbClr val="0070C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s-MX" sz="1100"/>
            <a:t>Limpiar cotización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601320</xdr:colOff>
      <xdr:row>23</xdr:row>
      <xdr:rowOff>114300</xdr:rowOff>
    </xdr:from>
    <xdr:to>
      <xdr:col>10</xdr:col>
      <xdr:colOff>20295</xdr:colOff>
      <xdr:row>25</xdr:row>
      <xdr:rowOff>57150</xdr:rowOff>
    </xdr:to>
    <xdr:sp macro="" textlink="">
      <xdr:nvSpPr>
        <xdr:cNvPr id="34" name="Rectángulo: esquinas redondeadas 3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6268695" y="4267200"/>
          <a:ext cx="944880" cy="285750"/>
        </a:xfrm>
        <a:prstGeom prst="roundRect">
          <a:avLst/>
        </a:prstGeom>
        <a:solidFill>
          <a:srgbClr val="00206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s-MX" sz="1100"/>
            <a:t>Siguiente </a:t>
          </a:r>
          <a:r>
            <a:rPr lang="es-MX" sz="1100">
              <a:sym typeface="Wingdings" panose="05000000000000000000" pitchFamily="2" charset="2"/>
            </a:rPr>
            <a:t></a:t>
          </a:r>
          <a:endParaRPr lang="es-MX" sz="1100"/>
        </a:p>
      </xdr:txBody>
    </xdr:sp>
    <xdr:clientData/>
  </xdr:twoCellAnchor>
  <xdr:twoCellAnchor editAs="absolute">
    <xdr:from>
      <xdr:col>2</xdr:col>
      <xdr:colOff>248894</xdr:colOff>
      <xdr:row>5</xdr:row>
      <xdr:rowOff>96824</xdr:rowOff>
    </xdr:from>
    <xdr:to>
      <xdr:col>2</xdr:col>
      <xdr:colOff>1314041</xdr:colOff>
      <xdr:row>7</xdr:row>
      <xdr:rowOff>20712</xdr:rowOff>
    </xdr:to>
    <xdr:sp macro="" textlink="">
      <xdr:nvSpPr>
        <xdr:cNvPr id="39" name="CuadroTexto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 txBox="1"/>
      </xdr:nvSpPr>
      <xdr:spPr>
        <a:xfrm>
          <a:off x="553694" y="1449374"/>
          <a:ext cx="1076577" cy="219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es-MX" sz="1400" b="1">
              <a:solidFill>
                <a:srgbClr val="00B050"/>
              </a:solidFill>
            </a:rPr>
            <a:t>Mano de Obra</a:t>
          </a:r>
        </a:p>
      </xdr:txBody>
    </xdr:sp>
    <xdr:clientData/>
  </xdr:twoCellAnchor>
  <xdr:twoCellAnchor editAs="oneCell">
    <xdr:from>
      <xdr:col>1</xdr:col>
      <xdr:colOff>1905</xdr:colOff>
      <xdr:row>23</xdr:row>
      <xdr:rowOff>114300</xdr:rowOff>
    </xdr:from>
    <xdr:to>
      <xdr:col>2</xdr:col>
      <xdr:colOff>819150</xdr:colOff>
      <xdr:row>25</xdr:row>
      <xdr:rowOff>55800</xdr:rowOff>
    </xdr:to>
    <xdr:sp macro="" textlink="">
      <xdr:nvSpPr>
        <xdr:cNvPr id="40" name="Rectángulo: esquinas redondeadas 3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>
        <a:xfrm>
          <a:off x="163830" y="4267200"/>
          <a:ext cx="960120" cy="284400"/>
        </a:xfrm>
        <a:prstGeom prst="round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s-MX" sz="1100">
              <a:sym typeface="Wingdings" panose="05000000000000000000" pitchFamily="2" charset="2"/>
            </a:rPr>
            <a:t></a:t>
          </a:r>
          <a:r>
            <a:rPr lang="es-MX" sz="1100" baseline="0">
              <a:sym typeface="Wingdings" panose="05000000000000000000" pitchFamily="2" charset="2"/>
            </a:rPr>
            <a:t> Anterior</a:t>
          </a:r>
          <a:endParaRPr lang="es-MX" sz="1100"/>
        </a:p>
      </xdr:txBody>
    </xdr:sp>
    <xdr:clientData/>
  </xdr:twoCellAnchor>
  <xdr:twoCellAnchor>
    <xdr:from>
      <xdr:col>2</xdr:col>
      <xdr:colOff>12989</xdr:colOff>
      <xdr:row>6</xdr:row>
      <xdr:rowOff>4849</xdr:rowOff>
    </xdr:from>
    <xdr:to>
      <xdr:col>2</xdr:col>
      <xdr:colOff>204566</xdr:colOff>
      <xdr:row>6</xdr:row>
      <xdr:rowOff>164627</xdr:rowOff>
    </xdr:to>
    <xdr:pic>
      <xdr:nvPicPr>
        <xdr:cNvPr id="42" name="Imagen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duotone>
            <a:schemeClr val="accent6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 flipH="1">
          <a:off x="316057" y="1489883"/>
          <a:ext cx="191577" cy="15977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2400300</xdr:colOff>
          <xdr:row>11</xdr:row>
          <xdr:rowOff>0</xdr:rowOff>
        </xdr:from>
        <xdr:to>
          <xdr:col>3</xdr:col>
          <xdr:colOff>182880</xdr:colOff>
          <xdr:row>12</xdr:row>
          <xdr:rowOff>0</xdr:rowOff>
        </xdr:to>
        <xdr:sp macro="" textlink="">
          <xdr:nvSpPr>
            <xdr:cNvPr id="3073" name="Spinner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2407920</xdr:colOff>
          <xdr:row>14</xdr:row>
          <xdr:rowOff>7620</xdr:rowOff>
        </xdr:from>
        <xdr:to>
          <xdr:col>3</xdr:col>
          <xdr:colOff>175260</xdr:colOff>
          <xdr:row>15</xdr:row>
          <xdr:rowOff>15240</xdr:rowOff>
        </xdr:to>
        <xdr:sp macro="" textlink="">
          <xdr:nvSpPr>
            <xdr:cNvPr id="3074" name="Spinner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2415540</xdr:colOff>
          <xdr:row>17</xdr:row>
          <xdr:rowOff>7620</xdr:rowOff>
        </xdr:from>
        <xdr:to>
          <xdr:col>3</xdr:col>
          <xdr:colOff>167640</xdr:colOff>
          <xdr:row>18</xdr:row>
          <xdr:rowOff>7620</xdr:rowOff>
        </xdr:to>
        <xdr:sp macro="" textlink="">
          <xdr:nvSpPr>
            <xdr:cNvPr id="3075" name="Spinner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2407920</xdr:colOff>
          <xdr:row>20</xdr:row>
          <xdr:rowOff>0</xdr:rowOff>
        </xdr:from>
        <xdr:to>
          <xdr:col>3</xdr:col>
          <xdr:colOff>175260</xdr:colOff>
          <xdr:row>21</xdr:row>
          <xdr:rowOff>0</xdr:rowOff>
        </xdr:to>
        <xdr:sp macro="" textlink="">
          <xdr:nvSpPr>
            <xdr:cNvPr id="3076" name="Spinner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15240</xdr:colOff>
      <xdr:row>7</xdr:row>
      <xdr:rowOff>34290</xdr:rowOff>
    </xdr:from>
    <xdr:to>
      <xdr:col>8</xdr:col>
      <xdr:colOff>0</xdr:colOff>
      <xdr:row>7</xdr:row>
      <xdr:rowOff>34290</xdr:rowOff>
    </xdr:to>
    <xdr:cxnSp macro="">
      <xdr:nvCxnSpPr>
        <xdr:cNvPr id="45" name="Conector recto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CxnSpPr/>
      </xdr:nvCxnSpPr>
      <xdr:spPr>
        <a:xfrm>
          <a:off x="320040" y="1682115"/>
          <a:ext cx="6690360" cy="0"/>
        </a:xfrm>
        <a:prstGeom prst="line">
          <a:avLst/>
        </a:prstGeom>
        <a:ln w="3175">
          <a:solidFill>
            <a:srgbClr val="00B05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0</xdr:colOff>
      <xdr:row>1</xdr:row>
      <xdr:rowOff>29306</xdr:rowOff>
    </xdr:from>
    <xdr:to>
      <xdr:col>6</xdr:col>
      <xdr:colOff>707975</xdr:colOff>
      <xdr:row>3</xdr:row>
      <xdr:rowOff>199629</xdr:rowOff>
    </xdr:to>
    <xdr:grpSp>
      <xdr:nvGrpSpPr>
        <xdr:cNvPr id="46" name="Grupo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GrpSpPr/>
      </xdr:nvGrpSpPr>
      <xdr:grpSpPr>
        <a:xfrm>
          <a:off x="152400" y="193136"/>
          <a:ext cx="5942915" cy="924703"/>
          <a:chOff x="161925" y="212186"/>
          <a:chExt cx="6389667" cy="909448"/>
        </a:xfrm>
      </xdr:grpSpPr>
      <xdr:grpSp>
        <xdr:nvGrpSpPr>
          <xdr:cNvPr id="49" name="Grupo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GrpSpPr/>
        </xdr:nvGrpSpPr>
        <xdr:grpSpPr>
          <a:xfrm>
            <a:off x="161925" y="879470"/>
            <a:ext cx="1096039" cy="233063"/>
            <a:chOff x="299084" y="926416"/>
            <a:chExt cx="1089515" cy="232850"/>
          </a:xfrm>
        </xdr:grpSpPr>
        <xdr:sp macro="" textlink="">
          <xdr:nvSpPr>
            <xdr:cNvPr id="102" name="Rectángulo 101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200-000066000000}"/>
                </a:ext>
              </a:extLst>
            </xdr:cNvPr>
            <xdr:cNvSpPr/>
          </xdr:nvSpPr>
          <xdr:spPr>
            <a:xfrm>
              <a:off x="300405" y="926416"/>
              <a:ext cx="1088194" cy="2328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 anchorCtr="0"/>
            <a:lstStyle/>
            <a:p>
              <a:pPr algn="l"/>
              <a:r>
                <a:rPr lang="es-MX" sz="1100" b="1">
                  <a:solidFill>
                    <a:schemeClr val="bg2">
                      <a:lumMod val="75000"/>
                    </a:schemeClr>
                  </a:solidFill>
                </a:rPr>
                <a:t>        Información </a:t>
              </a:r>
            </a:p>
          </xdr:txBody>
        </xdr:sp>
        <xdr:pic>
          <xdr:nvPicPr>
            <xdr:cNvPr id="103" name="Imagen 102" descr="Icono Informacion Vectores, Iconos, Gráficos y Fondos para Descargar Gratis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PicPr preferRelativeResize="0">
              <a:picLocks noChangeArrowheads="1"/>
            </xdr:cNvPicPr>
          </xdr:nvPicPr>
          <xdr:blipFill rotWithShape="1">
            <a:blip xmlns:r="http://schemas.openxmlformats.org/officeDocument/2006/relationships" r:embed="rId5" cstate="print">
              <a:clrChange>
                <a:clrFrom>
                  <a:srgbClr val="FFFFFF"/>
                </a:clrFrom>
                <a:clrTo>
                  <a:srgbClr val="FFFFFF">
                    <a:alpha val="0"/>
                  </a:srgbClr>
                </a:clrTo>
              </a:clrChange>
              <a:duotone>
                <a:schemeClr val="bg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52421" t="18065" r="6002" b="19314"/>
            <a:stretch/>
          </xdr:blipFill>
          <xdr:spPr bwMode="auto">
            <a:xfrm>
              <a:off x="387627" y="972870"/>
              <a:ext cx="143022" cy="146538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cxnSp macro="">
          <xdr:nvCxnSpPr>
            <xdr:cNvPr id="104" name="Conector recto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CxnSpPr/>
          </xdr:nvCxnSpPr>
          <xdr:spPr>
            <a:xfrm>
              <a:off x="299084" y="1154137"/>
              <a:ext cx="1078378" cy="0"/>
            </a:xfrm>
            <a:prstGeom prst="line">
              <a:avLst/>
            </a:prstGeom>
            <a:ln w="9525">
              <a:solidFill>
                <a:schemeClr val="bg2">
                  <a:lumMod val="75000"/>
                </a:schemeClr>
              </a:solidFill>
            </a:ln>
          </xdr:spPr>
          <xdr:style>
            <a:lnRef idx="2">
              <a:schemeClr val="accent1"/>
            </a:lnRef>
            <a:fillRef idx="0">
              <a:schemeClr val="accent1"/>
            </a:fillRef>
            <a:effectRef idx="1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77" name="Grupo 76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4858493" y="876209"/>
            <a:ext cx="762329" cy="240683"/>
            <a:chOff x="1394313" y="929933"/>
            <a:chExt cx="1089515" cy="234755"/>
          </a:xfrm>
        </xdr:grpSpPr>
        <xdr:sp macro="" textlink="">
          <xdr:nvSpPr>
            <xdr:cNvPr id="100" name="Rectángulo 99">
              <a:extLst>
                <a:ext uri="{FF2B5EF4-FFF2-40B4-BE49-F238E27FC236}">
                  <a16:creationId xmlns:a16="http://schemas.microsoft.com/office/drawing/2014/main" id="{00000000-0008-0000-0200-000064000000}"/>
                </a:ext>
              </a:extLst>
            </xdr:cNvPr>
            <xdr:cNvSpPr/>
          </xdr:nvSpPr>
          <xdr:spPr>
            <a:xfrm>
              <a:off x="1395634" y="929933"/>
              <a:ext cx="1088194" cy="234755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 anchorCtr="0"/>
            <a:lstStyle/>
            <a:p>
              <a:pPr algn="ctr"/>
              <a:r>
                <a:rPr lang="es-MX" sz="1100" b="1">
                  <a:solidFill>
                    <a:schemeClr val="bg2">
                      <a:lumMod val="75000"/>
                    </a:schemeClr>
                  </a:solidFill>
                </a:rPr>
                <a:t>% Utilidad</a:t>
              </a:r>
            </a:p>
          </xdr:txBody>
        </xdr:sp>
        <xdr:cxnSp macro="">
          <xdr:nvCxnSpPr>
            <xdr:cNvPr id="101" name="Conector recto 100">
              <a:extLst>
                <a:ext uri="{FF2B5EF4-FFF2-40B4-BE49-F238E27FC236}">
                  <a16:creationId xmlns:a16="http://schemas.microsoft.com/office/drawing/2014/main" id="{00000000-0008-0000-0200-000065000000}"/>
                </a:ext>
              </a:extLst>
            </xdr:cNvPr>
            <xdr:cNvCxnSpPr/>
          </xdr:nvCxnSpPr>
          <xdr:spPr>
            <a:xfrm>
              <a:off x="1394313" y="1157654"/>
              <a:ext cx="1072663" cy="0"/>
            </a:xfrm>
            <a:prstGeom prst="line">
              <a:avLst/>
            </a:prstGeom>
            <a:ln w="12700">
              <a:solidFill>
                <a:schemeClr val="bg2">
                  <a:lumMod val="75000"/>
                </a:schemeClr>
              </a:solidFill>
            </a:ln>
          </xdr:spPr>
          <xdr:style>
            <a:lnRef idx="2">
              <a:schemeClr val="accent1"/>
            </a:lnRef>
            <a:fillRef idx="0">
              <a:schemeClr val="accent1"/>
            </a:fillRef>
            <a:effectRef idx="1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78" name="Grupo 77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GrpSpPr/>
        </xdr:nvGrpSpPr>
        <xdr:grpSpPr>
          <a:xfrm>
            <a:off x="2416003" y="875297"/>
            <a:ext cx="1105414" cy="246337"/>
            <a:chOff x="2398879" y="938714"/>
            <a:chExt cx="1087610" cy="230945"/>
          </a:xfrm>
        </xdr:grpSpPr>
        <xdr:grpSp>
          <xdr:nvGrpSpPr>
            <xdr:cNvPr id="96" name="Grupo 95">
              <a:extLst>
                <a:ext uri="{FF2B5EF4-FFF2-40B4-BE49-F238E27FC236}">
                  <a16:creationId xmlns:a16="http://schemas.microsoft.com/office/drawing/2014/main" id="{00000000-0008-0000-0200-000060000000}"/>
                </a:ext>
              </a:extLst>
            </xdr:cNvPr>
            <xdr:cNvGrpSpPr/>
          </xdr:nvGrpSpPr>
          <xdr:grpSpPr>
            <a:xfrm>
              <a:off x="2398879" y="934904"/>
              <a:ext cx="1091420" cy="230945"/>
              <a:chOff x="1394313" y="929933"/>
              <a:chExt cx="1089515" cy="234755"/>
            </a:xfrm>
          </xdr:grpSpPr>
          <xdr:sp macro="" textlink="">
            <xdr:nvSpPr>
              <xdr:cNvPr id="98" name="Rectángulo 97">
                <a:extLst>
                  <a:ext uri="{FF2B5EF4-FFF2-40B4-BE49-F238E27FC236}">
                    <a16:creationId xmlns:a16="http://schemas.microsoft.com/office/drawing/2014/main" id="{00000000-0008-0000-0200-000062000000}"/>
                  </a:ext>
                </a:extLst>
              </xdr:cNvPr>
              <xdr:cNvSpPr/>
            </xdr:nvSpPr>
            <xdr:spPr>
              <a:xfrm>
                <a:off x="1395634" y="929933"/>
                <a:ext cx="1088194" cy="234755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 anchorCtr="0"/>
              <a:lstStyle/>
              <a:p>
                <a:pPr algn="ctr"/>
                <a:r>
                  <a:rPr lang="es-MX" sz="1100" b="1">
                    <a:solidFill>
                      <a:srgbClr val="00B050"/>
                    </a:solidFill>
                  </a:rPr>
                  <a:t>      Mano de Obra</a:t>
                </a:r>
              </a:p>
            </xdr:txBody>
          </xdr:sp>
          <xdr:cxnSp macro="">
            <xdr:nvCxnSpPr>
              <xdr:cNvPr id="99" name="Conector recto 98">
                <a:extLst>
                  <a:ext uri="{FF2B5EF4-FFF2-40B4-BE49-F238E27FC236}">
                    <a16:creationId xmlns:a16="http://schemas.microsoft.com/office/drawing/2014/main" id="{00000000-0008-0000-0200-000063000000}"/>
                  </a:ext>
                </a:extLst>
              </xdr:cNvPr>
              <xdr:cNvCxnSpPr/>
            </xdr:nvCxnSpPr>
            <xdr:spPr>
              <a:xfrm>
                <a:off x="1394313" y="1157654"/>
                <a:ext cx="1072663" cy="0"/>
              </a:xfrm>
              <a:prstGeom prst="line">
                <a:avLst/>
              </a:prstGeom>
              <a:ln w="28575">
                <a:solidFill>
                  <a:srgbClr val="00B050"/>
                </a:solidFill>
              </a:ln>
            </xdr:spPr>
            <xdr:style>
              <a:lnRef idx="2">
                <a:schemeClr val="accent1"/>
              </a:lnRef>
              <a:fillRef idx="0">
                <a:schemeClr val="accent1"/>
              </a:fillRef>
              <a:effectRef idx="1">
                <a:schemeClr val="accent1"/>
              </a:effectRef>
              <a:fontRef idx="minor">
                <a:schemeClr val="tx1"/>
              </a:fontRef>
            </xdr:style>
          </xdr:cxnSp>
        </xdr:grpSp>
        <xdr:pic>
          <xdr:nvPicPr>
            <xdr:cNvPr id="97" name="Imagen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clrChange>
                <a:clrFrom>
                  <a:srgbClr val="FFFFFF"/>
                </a:clrFrom>
                <a:clrTo>
                  <a:srgbClr val="FFFFFF">
                    <a:alpha val="0"/>
                  </a:srgbClr>
                </a:clrTo>
              </a:clrChange>
              <a:duotone>
                <a:schemeClr val="accent6">
                  <a:shade val="45000"/>
                  <a:satMod val="135000"/>
                </a:schemeClr>
                <a:prstClr val="white"/>
              </a:duotone>
            </a:blip>
            <a:stretch>
              <a:fillRect/>
            </a:stretch>
          </xdr:blipFill>
          <xdr:spPr>
            <a:xfrm flipH="1">
              <a:off x="2423351" y="973789"/>
              <a:ext cx="190793" cy="157769"/>
            </a:xfrm>
            <a:prstGeom prst="rect">
              <a:avLst/>
            </a:prstGeom>
          </xdr:spPr>
        </xdr:pic>
      </xdr:grpSp>
      <xdr:grpSp>
        <xdr:nvGrpSpPr>
          <xdr:cNvPr id="79" name="Grupo 78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200-00004F000000}"/>
              </a:ext>
            </a:extLst>
          </xdr:cNvPr>
          <xdr:cNvGrpSpPr/>
        </xdr:nvGrpSpPr>
        <xdr:grpSpPr>
          <a:xfrm>
            <a:off x="3552495" y="871940"/>
            <a:ext cx="1281355" cy="240683"/>
            <a:chOff x="3508028" y="937541"/>
            <a:chExt cx="1274885" cy="229040"/>
          </a:xfrm>
        </xdr:grpSpPr>
        <xdr:grpSp>
          <xdr:nvGrpSpPr>
            <xdr:cNvPr id="92" name="Grupo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GrpSpPr/>
          </xdr:nvGrpSpPr>
          <xdr:grpSpPr>
            <a:xfrm>
              <a:off x="3508028" y="937541"/>
              <a:ext cx="1274885" cy="229040"/>
              <a:chOff x="1394313" y="929933"/>
              <a:chExt cx="1089515" cy="234755"/>
            </a:xfrm>
          </xdr:grpSpPr>
          <xdr:sp macro="" textlink="">
            <xdr:nvSpPr>
              <xdr:cNvPr id="94" name="Rectángulo 93">
                <a:extLst>
                  <a:ext uri="{FF2B5EF4-FFF2-40B4-BE49-F238E27FC236}">
                    <a16:creationId xmlns:a16="http://schemas.microsoft.com/office/drawing/2014/main" id="{00000000-0008-0000-0200-00005E000000}"/>
                  </a:ext>
                </a:extLst>
              </xdr:cNvPr>
              <xdr:cNvSpPr/>
            </xdr:nvSpPr>
            <xdr:spPr>
              <a:xfrm>
                <a:off x="1395634" y="929933"/>
                <a:ext cx="1088194" cy="234755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 anchorCtr="0"/>
              <a:lstStyle/>
              <a:p>
                <a:pPr algn="ctr"/>
                <a:r>
                  <a:rPr lang="es-MX" sz="1100" b="1">
                    <a:solidFill>
                      <a:schemeClr val="bg2">
                        <a:lumMod val="75000"/>
                      </a:schemeClr>
                    </a:solidFill>
                  </a:rPr>
                  <a:t>      Costos</a:t>
                </a:r>
                <a:r>
                  <a:rPr lang="es-MX" sz="1100" b="1" baseline="0">
                    <a:solidFill>
                      <a:schemeClr val="bg2">
                        <a:lumMod val="75000"/>
                      </a:schemeClr>
                    </a:solidFill>
                  </a:rPr>
                  <a:t> Indirectos</a:t>
                </a:r>
                <a:endParaRPr lang="es-MX" sz="1100" b="1">
                  <a:solidFill>
                    <a:schemeClr val="bg2">
                      <a:lumMod val="75000"/>
                    </a:schemeClr>
                  </a:solidFill>
                </a:endParaRPr>
              </a:p>
            </xdr:txBody>
          </xdr:sp>
          <xdr:cxnSp macro="">
            <xdr:nvCxnSpPr>
              <xdr:cNvPr id="95" name="Conector recto 94">
                <a:extLst>
                  <a:ext uri="{FF2B5EF4-FFF2-40B4-BE49-F238E27FC236}">
                    <a16:creationId xmlns:a16="http://schemas.microsoft.com/office/drawing/2014/main" id="{00000000-0008-0000-0200-00005F000000}"/>
                  </a:ext>
                </a:extLst>
              </xdr:cNvPr>
              <xdr:cNvCxnSpPr/>
            </xdr:nvCxnSpPr>
            <xdr:spPr>
              <a:xfrm>
                <a:off x="1394313" y="1157654"/>
                <a:ext cx="1072663" cy="0"/>
              </a:xfrm>
              <a:prstGeom prst="line">
                <a:avLst/>
              </a:prstGeom>
              <a:ln w="12700">
                <a:solidFill>
                  <a:schemeClr val="bg2">
                    <a:lumMod val="75000"/>
                  </a:schemeClr>
                </a:solidFill>
              </a:ln>
            </xdr:spPr>
            <xdr:style>
              <a:lnRef idx="2">
                <a:schemeClr val="accent1"/>
              </a:lnRef>
              <a:fillRef idx="0">
                <a:schemeClr val="accent1"/>
              </a:fillRef>
              <a:effectRef idx="1">
                <a:schemeClr val="accent1"/>
              </a:effectRef>
              <a:fontRef idx="minor">
                <a:schemeClr val="tx1"/>
              </a:fontRef>
            </xdr:style>
          </xdr:cxnSp>
        </xdr:grpSp>
        <xdr:pic>
          <xdr:nvPicPr>
            <xdr:cNvPr id="93" name="Gráfico 92" descr="Monedas con relleno sólido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 flipH="1">
              <a:off x="3529589" y="941774"/>
              <a:ext cx="185259" cy="203816"/>
            </a:xfrm>
            <a:prstGeom prst="rect">
              <a:avLst/>
            </a:prstGeom>
          </xdr:spPr>
        </xdr:pic>
      </xdr:grpSp>
      <xdr:grpSp>
        <xdr:nvGrpSpPr>
          <xdr:cNvPr id="80" name="Grupo 79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200-000050000000}"/>
              </a:ext>
            </a:extLst>
          </xdr:cNvPr>
          <xdr:cNvGrpSpPr/>
        </xdr:nvGrpSpPr>
        <xdr:grpSpPr>
          <a:xfrm>
            <a:off x="5641325" y="879750"/>
            <a:ext cx="910267" cy="233355"/>
            <a:chOff x="5582531" y="937541"/>
            <a:chExt cx="894469" cy="232850"/>
          </a:xfrm>
        </xdr:grpSpPr>
        <xdr:grpSp>
          <xdr:nvGrpSpPr>
            <xdr:cNvPr id="88" name="Grupo 87">
              <a:extLst>
                <a:ext uri="{FF2B5EF4-FFF2-40B4-BE49-F238E27FC236}">
                  <a16:creationId xmlns:a16="http://schemas.microsoft.com/office/drawing/2014/main" id="{00000000-0008-0000-0200-000058000000}"/>
                </a:ext>
              </a:extLst>
            </xdr:cNvPr>
            <xdr:cNvGrpSpPr/>
          </xdr:nvGrpSpPr>
          <xdr:grpSpPr>
            <a:xfrm>
              <a:off x="5582531" y="937541"/>
              <a:ext cx="894469" cy="232850"/>
              <a:chOff x="1394313" y="929933"/>
              <a:chExt cx="1089515" cy="234755"/>
            </a:xfrm>
          </xdr:grpSpPr>
          <xdr:sp macro="" textlink="">
            <xdr:nvSpPr>
              <xdr:cNvPr id="90" name="Rectángulo 89">
                <a:extLst>
                  <a:ext uri="{FF2B5EF4-FFF2-40B4-BE49-F238E27FC236}">
                    <a16:creationId xmlns:a16="http://schemas.microsoft.com/office/drawing/2014/main" id="{00000000-0008-0000-0200-00005A000000}"/>
                  </a:ext>
                </a:extLst>
              </xdr:cNvPr>
              <xdr:cNvSpPr/>
            </xdr:nvSpPr>
            <xdr:spPr>
              <a:xfrm>
                <a:off x="1395634" y="929933"/>
                <a:ext cx="1088194" cy="234755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 anchorCtr="0"/>
              <a:lstStyle/>
              <a:p>
                <a:pPr algn="ctr"/>
                <a:r>
                  <a:rPr lang="es-MX" sz="1100" b="1">
                    <a:solidFill>
                      <a:schemeClr val="bg2">
                        <a:lumMod val="75000"/>
                      </a:schemeClr>
                    </a:solidFill>
                  </a:rPr>
                  <a:t>     Resumen</a:t>
                </a:r>
              </a:p>
            </xdr:txBody>
          </xdr:sp>
          <xdr:cxnSp macro="">
            <xdr:nvCxnSpPr>
              <xdr:cNvPr id="91" name="Conector recto 90">
                <a:extLst>
                  <a:ext uri="{FF2B5EF4-FFF2-40B4-BE49-F238E27FC236}">
                    <a16:creationId xmlns:a16="http://schemas.microsoft.com/office/drawing/2014/main" id="{00000000-0008-0000-0200-00005B000000}"/>
                  </a:ext>
                </a:extLst>
              </xdr:cNvPr>
              <xdr:cNvCxnSpPr/>
            </xdr:nvCxnSpPr>
            <xdr:spPr>
              <a:xfrm>
                <a:off x="1394313" y="1157654"/>
                <a:ext cx="1072663" cy="0"/>
              </a:xfrm>
              <a:prstGeom prst="line">
                <a:avLst/>
              </a:prstGeom>
              <a:ln w="12700">
                <a:solidFill>
                  <a:schemeClr val="bg2">
                    <a:lumMod val="75000"/>
                  </a:schemeClr>
                </a:solidFill>
              </a:ln>
            </xdr:spPr>
            <xdr:style>
              <a:lnRef idx="2">
                <a:schemeClr val="accent1"/>
              </a:lnRef>
              <a:fillRef idx="0">
                <a:schemeClr val="accent1"/>
              </a:fillRef>
              <a:effectRef idx="1">
                <a:schemeClr val="accent1"/>
              </a:effectRef>
              <a:fontRef idx="minor">
                <a:schemeClr val="tx1"/>
              </a:fontRef>
            </xdr:style>
          </xdr:cxnSp>
        </xdr:grpSp>
        <xdr:pic>
          <xdr:nvPicPr>
            <xdr:cNvPr id="89" name="Gráfico 88" descr="Lista con relleno sólido">
              <a:extLst>
                <a:ext uri="{FF2B5EF4-FFF2-40B4-BE49-F238E27FC236}">
                  <a16:creationId xmlns:a16="http://schemas.microsoft.com/office/drawing/2014/main" id="{00000000-0008-0000-0200-000059000000}"/>
                </a:ext>
              </a:extLst>
            </xdr:cNvPr>
            <xdr:cNvPicPr preferRelativeResize="0">
              <a:picLocks/>
            </xdr:cNvPicPr>
          </xdr:nvPicPr>
          <xdr:blipFill>
            <a:blip xmlns:r="http://schemas.openxmlformats.org/officeDocument/2006/relationships" r:embed="rId1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2"/>
                </a:ext>
              </a:extLst>
            </a:blip>
            <a:stretch>
              <a:fillRect/>
            </a:stretch>
          </xdr:blipFill>
          <xdr:spPr>
            <a:xfrm>
              <a:off x="5658511" y="956163"/>
              <a:ext cx="179125" cy="189597"/>
            </a:xfrm>
            <a:prstGeom prst="rect">
              <a:avLst/>
            </a:prstGeom>
          </xdr:spPr>
        </xdr:pic>
      </xdr:grpSp>
      <xdr:grpSp>
        <xdr:nvGrpSpPr>
          <xdr:cNvPr id="81" name="Grupo 80">
            <a:extLst>
              <a:ext uri="{FF2B5EF4-FFF2-40B4-BE49-F238E27FC236}">
                <a16:creationId xmlns:a16="http://schemas.microsoft.com/office/drawing/2014/main" id="{00000000-0008-0000-0200-000051000000}"/>
              </a:ext>
            </a:extLst>
          </xdr:cNvPr>
          <xdr:cNvGrpSpPr/>
        </xdr:nvGrpSpPr>
        <xdr:grpSpPr>
          <a:xfrm>
            <a:off x="1287569" y="879470"/>
            <a:ext cx="1095896" cy="225566"/>
            <a:chOff x="1290169" y="941058"/>
            <a:chExt cx="1095230" cy="225230"/>
          </a:xfrm>
        </xdr:grpSpPr>
        <xdr:grpSp>
          <xdr:nvGrpSpPr>
            <xdr:cNvPr id="84" name="Grupo 83">
              <a:extLst>
                <a:ext uri="{FF2B5EF4-FFF2-40B4-BE49-F238E27FC236}">
                  <a16:creationId xmlns:a16="http://schemas.microsoft.com/office/drawing/2014/main" id="{00000000-0008-0000-0200-000054000000}"/>
                </a:ext>
              </a:extLst>
            </xdr:cNvPr>
            <xdr:cNvGrpSpPr/>
          </xdr:nvGrpSpPr>
          <xdr:grpSpPr>
            <a:xfrm>
              <a:off x="1288264" y="937248"/>
              <a:ext cx="1093325" cy="232850"/>
              <a:chOff x="1394313" y="928000"/>
              <a:chExt cx="1089515" cy="232882"/>
            </a:xfrm>
          </xdr:grpSpPr>
          <xdr:sp macro="" textlink="">
            <xdr:nvSpPr>
              <xdr:cNvPr id="86" name="Rectángulo 85">
                <a:hlinkClick xmlns:r="http://schemas.openxmlformats.org/officeDocument/2006/relationships" r:id="rId2"/>
                <a:extLst>
                  <a:ext uri="{FF2B5EF4-FFF2-40B4-BE49-F238E27FC236}">
                    <a16:creationId xmlns:a16="http://schemas.microsoft.com/office/drawing/2014/main" id="{00000000-0008-0000-0200-000056000000}"/>
                  </a:ext>
                </a:extLst>
              </xdr:cNvPr>
              <xdr:cNvSpPr/>
            </xdr:nvSpPr>
            <xdr:spPr>
              <a:xfrm>
                <a:off x="1399439" y="928000"/>
                <a:ext cx="1084389" cy="232882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 anchorCtr="0"/>
              <a:lstStyle/>
              <a:p>
                <a:pPr algn="ctr"/>
                <a:r>
                  <a:rPr lang="es-MX" sz="1100" b="1">
                    <a:solidFill>
                      <a:schemeClr val="bg2">
                        <a:lumMod val="75000"/>
                      </a:schemeClr>
                    </a:solidFill>
                  </a:rPr>
                  <a:t>     Materiales</a:t>
                </a:r>
              </a:p>
            </xdr:txBody>
          </xdr:sp>
          <xdr:cxnSp macro="">
            <xdr:nvCxnSpPr>
              <xdr:cNvPr id="87" name="Conector recto 86">
                <a:extLst>
                  <a:ext uri="{FF2B5EF4-FFF2-40B4-BE49-F238E27FC236}">
                    <a16:creationId xmlns:a16="http://schemas.microsoft.com/office/drawing/2014/main" id="{00000000-0008-0000-0200-000057000000}"/>
                  </a:ext>
                </a:extLst>
              </xdr:cNvPr>
              <xdr:cNvCxnSpPr/>
            </xdr:nvCxnSpPr>
            <xdr:spPr>
              <a:xfrm>
                <a:off x="1394313" y="1157654"/>
                <a:ext cx="1072663" cy="0"/>
              </a:xfrm>
              <a:prstGeom prst="line">
                <a:avLst/>
              </a:prstGeom>
              <a:ln w="12700">
                <a:solidFill>
                  <a:schemeClr val="bg2">
                    <a:lumMod val="75000"/>
                  </a:schemeClr>
                </a:solidFill>
              </a:ln>
            </xdr:spPr>
            <xdr:style>
              <a:lnRef idx="2">
                <a:schemeClr val="accent1"/>
              </a:lnRef>
              <a:fillRef idx="0">
                <a:schemeClr val="accent1"/>
              </a:fillRef>
              <a:effectRef idx="1">
                <a:schemeClr val="accent1"/>
              </a:effectRef>
              <a:fontRef idx="minor">
                <a:schemeClr val="tx1"/>
              </a:fontRef>
            </xdr:style>
          </xdr:cxnSp>
        </xdr:grpSp>
        <xdr:pic>
          <xdr:nvPicPr>
            <xdr:cNvPr id="85" name="Gráfico 84" descr="Carro de la compra con relleno sólido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4"/>
                </a:ext>
              </a:extLst>
            </a:blip>
            <a:stretch>
              <a:fillRect/>
            </a:stretch>
          </xdr:blipFill>
          <xdr:spPr>
            <a:xfrm>
              <a:off x="1391225" y="961041"/>
              <a:ext cx="195388" cy="189205"/>
            </a:xfrm>
            <a:prstGeom prst="rect">
              <a:avLst/>
            </a:prstGeom>
          </xdr:spPr>
        </xdr:pic>
      </xdr:grpSp>
      <xdr:pic>
        <xdr:nvPicPr>
          <xdr:cNvPr id="82" name="Imagen 81">
            <a:extLst>
              <a:ext uri="{FF2B5EF4-FFF2-40B4-BE49-F238E27FC236}">
                <a16:creationId xmlns:a16="http://schemas.microsoft.com/office/drawing/2014/main" id="{00000000-0008-0000-0200-000052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 bwMode="auto">
          <a:xfrm>
            <a:off x="162221" y="215703"/>
            <a:ext cx="453506" cy="44928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83" name="Rectángulo 8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SpPr/>
        </xdr:nvSpPr>
        <xdr:spPr>
          <a:xfrm>
            <a:off x="572643" y="212186"/>
            <a:ext cx="3530932" cy="45793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l"/>
            <a:r>
              <a:rPr lang="es-MX" sz="1600" b="1" i="0" u="none">
                <a:solidFill>
                  <a:sysClr val="windowText" lastClr="000000"/>
                </a:solidFill>
              </a:rPr>
              <a:t>Plantilla </a:t>
            </a:r>
            <a:r>
              <a:rPr lang="es-MX" sz="1600" b="1" i="0" u="none" baseline="0">
                <a:solidFill>
                  <a:sysClr val="windowText" lastClr="000000"/>
                </a:solidFill>
              </a:rPr>
              <a:t>Inteligente de Muebles</a:t>
            </a:r>
            <a:endParaRPr lang="es-MX" sz="1600" b="1" i="0" u="none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6</xdr:col>
      <xdr:colOff>228600</xdr:colOff>
      <xdr:row>5</xdr:row>
      <xdr:rowOff>57150</xdr:rowOff>
    </xdr:from>
    <xdr:to>
      <xdr:col>8</xdr:col>
      <xdr:colOff>1905</xdr:colOff>
      <xdr:row>6</xdr:row>
      <xdr:rowOff>148590</xdr:rowOff>
    </xdr:to>
    <xdr:sp macro="[0]!Borrar_Campos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5895975" y="1409700"/>
          <a:ext cx="1116330" cy="215265"/>
        </a:xfrm>
        <a:prstGeom prst="roundRect">
          <a:avLst/>
        </a:prstGeom>
        <a:solidFill>
          <a:srgbClr val="0070C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s-MX" sz="1100"/>
            <a:t>Limpiar cotización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297180</xdr:colOff>
      <xdr:row>24</xdr:row>
      <xdr:rowOff>112395</xdr:rowOff>
    </xdr:from>
    <xdr:to>
      <xdr:col>12</xdr:col>
      <xdr:colOff>0</xdr:colOff>
      <xdr:row>26</xdr:row>
      <xdr:rowOff>55245</xdr:rowOff>
    </xdr:to>
    <xdr:sp macro="" textlink="">
      <xdr:nvSpPr>
        <xdr:cNvPr id="6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6231255" y="4436745"/>
          <a:ext cx="1017270" cy="289560"/>
        </a:xfrm>
        <a:prstGeom prst="roundRect">
          <a:avLst/>
        </a:prstGeom>
        <a:solidFill>
          <a:srgbClr val="00206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s-MX" sz="1100"/>
            <a:t>Siguiente </a:t>
          </a:r>
          <a:r>
            <a:rPr lang="es-MX" sz="1100">
              <a:sym typeface="Wingdings" panose="05000000000000000000" pitchFamily="2" charset="2"/>
            </a:rPr>
            <a:t> </a:t>
          </a:r>
          <a:endParaRPr lang="es-MX" sz="1100"/>
        </a:p>
      </xdr:txBody>
    </xdr:sp>
    <xdr:clientData/>
  </xdr:twoCellAnchor>
  <xdr:twoCellAnchor editAs="absolute">
    <xdr:from>
      <xdr:col>2</xdr:col>
      <xdr:colOff>248894</xdr:colOff>
      <xdr:row>5</xdr:row>
      <xdr:rowOff>96824</xdr:rowOff>
    </xdr:from>
    <xdr:to>
      <xdr:col>2</xdr:col>
      <xdr:colOff>1523639</xdr:colOff>
      <xdr:row>7</xdr:row>
      <xdr:rowOff>20712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549884" y="1449374"/>
          <a:ext cx="1282365" cy="219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es-MX" sz="1400" b="1">
              <a:solidFill>
                <a:schemeClr val="accent1"/>
              </a:solidFill>
            </a:rPr>
            <a:t>Costos Indirectos</a:t>
          </a:r>
        </a:p>
      </xdr:txBody>
    </xdr:sp>
    <xdr:clientData/>
  </xdr:twoCellAnchor>
  <xdr:twoCellAnchor editAs="oneCell">
    <xdr:from>
      <xdr:col>1</xdr:col>
      <xdr:colOff>0</xdr:colOff>
      <xdr:row>24</xdr:row>
      <xdr:rowOff>110490</xdr:rowOff>
    </xdr:from>
    <xdr:to>
      <xdr:col>2</xdr:col>
      <xdr:colOff>819150</xdr:colOff>
      <xdr:row>26</xdr:row>
      <xdr:rowOff>55800</xdr:rowOff>
    </xdr:to>
    <xdr:sp macro="" textlink="">
      <xdr:nvSpPr>
        <xdr:cNvPr id="8" name="Rectángulo: esquinas redondeadas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161925" y="4434840"/>
          <a:ext cx="962025" cy="292020"/>
        </a:xfrm>
        <a:prstGeom prst="round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s-MX" sz="1100">
              <a:sym typeface="Wingdings" panose="05000000000000000000" pitchFamily="2" charset="2"/>
            </a:rPr>
            <a:t></a:t>
          </a:r>
          <a:r>
            <a:rPr lang="es-MX" sz="1100" baseline="0">
              <a:sym typeface="Wingdings" panose="05000000000000000000" pitchFamily="2" charset="2"/>
            </a:rPr>
            <a:t> Anterior</a:t>
          </a:r>
          <a:endParaRPr lang="es-MX" sz="1100"/>
        </a:p>
      </xdr:txBody>
    </xdr:sp>
    <xdr:clientData/>
  </xdr:twoCellAnchor>
  <xdr:twoCellAnchor>
    <xdr:from>
      <xdr:col>2</xdr:col>
      <xdr:colOff>20561</xdr:colOff>
      <xdr:row>5</xdr:row>
      <xdr:rowOff>120147</xdr:rowOff>
    </xdr:from>
    <xdr:to>
      <xdr:col>2</xdr:col>
      <xdr:colOff>212512</xdr:colOff>
      <xdr:row>7</xdr:row>
      <xdr:rowOff>20849</xdr:rowOff>
    </xdr:to>
    <xdr:pic>
      <xdr:nvPicPr>
        <xdr:cNvPr id="38" name="Gráfico 37" descr="Monedas con relleno sólido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flipH="1">
          <a:off x="325361" y="1472697"/>
          <a:ext cx="191951" cy="195977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7</xdr:row>
      <xdr:rowOff>38100</xdr:rowOff>
    </xdr:from>
    <xdr:to>
      <xdr:col>10</xdr:col>
      <xdr:colOff>26670</xdr:colOff>
      <xdr:row>7</xdr:row>
      <xdr:rowOff>38100</xdr:rowOff>
    </xdr:to>
    <xdr:cxnSp macro="">
      <xdr:nvCxnSpPr>
        <xdr:cNvPr id="39" name="Conector recto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CxnSpPr/>
      </xdr:nvCxnSpPr>
      <xdr:spPr>
        <a:xfrm>
          <a:off x="304800" y="1685925"/>
          <a:ext cx="9067800" cy="0"/>
        </a:xfrm>
        <a:prstGeom prst="line">
          <a:avLst/>
        </a:prstGeom>
        <a:ln w="3175">
          <a:solidFill>
            <a:schemeClr val="accent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</xdr:colOff>
          <xdr:row>9</xdr:row>
          <xdr:rowOff>53340</xdr:rowOff>
        </xdr:from>
        <xdr:to>
          <xdr:col>2</xdr:col>
          <xdr:colOff>297180</xdr:colOff>
          <xdr:row>11</xdr:row>
          <xdr:rowOff>15240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</xdr:colOff>
          <xdr:row>11</xdr:row>
          <xdr:rowOff>129540</xdr:rowOff>
        </xdr:from>
        <xdr:to>
          <xdr:col>2</xdr:col>
          <xdr:colOff>297180</xdr:colOff>
          <xdr:row>13</xdr:row>
          <xdr:rowOff>15240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</xdr:colOff>
          <xdr:row>13</xdr:row>
          <xdr:rowOff>129540</xdr:rowOff>
        </xdr:from>
        <xdr:to>
          <xdr:col>2</xdr:col>
          <xdr:colOff>297180</xdr:colOff>
          <xdr:row>15</xdr:row>
          <xdr:rowOff>15240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</xdr:colOff>
          <xdr:row>15</xdr:row>
          <xdr:rowOff>129540</xdr:rowOff>
        </xdr:from>
        <xdr:to>
          <xdr:col>2</xdr:col>
          <xdr:colOff>297180</xdr:colOff>
          <xdr:row>17</xdr:row>
          <xdr:rowOff>15240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0</xdr:colOff>
      <xdr:row>1</xdr:row>
      <xdr:rowOff>57842</xdr:rowOff>
    </xdr:from>
    <xdr:to>
      <xdr:col>8</xdr:col>
      <xdr:colOff>592240</xdr:colOff>
      <xdr:row>3</xdr:row>
      <xdr:rowOff>211059</xdr:rowOff>
    </xdr:to>
    <xdr:grpSp>
      <xdr:nvGrpSpPr>
        <xdr:cNvPr id="44" name="Grupo 43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GrpSpPr/>
      </xdr:nvGrpSpPr>
      <xdr:grpSpPr>
        <a:xfrm>
          <a:off x="152400" y="221672"/>
          <a:ext cx="6071020" cy="907597"/>
          <a:chOff x="161925" y="212186"/>
          <a:chExt cx="6389667" cy="909448"/>
        </a:xfrm>
      </xdr:grpSpPr>
      <xdr:grpSp>
        <xdr:nvGrpSpPr>
          <xdr:cNvPr id="47" name="Grupo 46">
            <a:extLst>
              <a:ext uri="{FF2B5EF4-FFF2-40B4-BE49-F238E27FC236}">
                <a16:creationId xmlns:a16="http://schemas.microsoft.com/office/drawing/2014/main" id="{00000000-0008-0000-0300-00002F000000}"/>
              </a:ext>
            </a:extLst>
          </xdr:cNvPr>
          <xdr:cNvGrpSpPr/>
        </xdr:nvGrpSpPr>
        <xdr:grpSpPr>
          <a:xfrm>
            <a:off x="161925" y="879470"/>
            <a:ext cx="1096039" cy="233063"/>
            <a:chOff x="299084" y="926416"/>
            <a:chExt cx="1089515" cy="232850"/>
          </a:xfrm>
        </xdr:grpSpPr>
        <xdr:sp macro="" textlink="">
          <xdr:nvSpPr>
            <xdr:cNvPr id="73" name="Rectángulo 72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300-000049000000}"/>
                </a:ext>
              </a:extLst>
            </xdr:cNvPr>
            <xdr:cNvSpPr/>
          </xdr:nvSpPr>
          <xdr:spPr>
            <a:xfrm>
              <a:off x="300405" y="926416"/>
              <a:ext cx="1088194" cy="2328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 anchorCtr="0"/>
            <a:lstStyle/>
            <a:p>
              <a:pPr algn="l"/>
              <a:r>
                <a:rPr lang="es-MX" sz="1100" b="1">
                  <a:solidFill>
                    <a:schemeClr val="bg2">
                      <a:lumMod val="75000"/>
                    </a:schemeClr>
                  </a:solidFill>
                </a:rPr>
                <a:t>        Información </a:t>
              </a:r>
            </a:p>
          </xdr:txBody>
        </xdr:sp>
        <xdr:pic>
          <xdr:nvPicPr>
            <xdr:cNvPr id="74" name="Imagen 73" descr="Icono Informacion Vectores, Iconos, Gráficos y Fondos para Descargar Gratis">
              <a:extLst>
                <a:ext uri="{FF2B5EF4-FFF2-40B4-BE49-F238E27FC236}">
                  <a16:creationId xmlns:a16="http://schemas.microsoft.com/office/drawing/2014/main" id="{00000000-0008-0000-0300-00004A000000}"/>
                </a:ext>
              </a:extLst>
            </xdr:cNvPr>
            <xdr:cNvPicPr preferRelativeResize="0">
              <a:picLocks noChangeArrowheads="1"/>
            </xdr:cNvPicPr>
          </xdr:nvPicPr>
          <xdr:blipFill rotWithShape="1">
            <a:blip xmlns:r="http://schemas.openxmlformats.org/officeDocument/2006/relationships" r:embed="rId6" cstate="print">
              <a:clrChange>
                <a:clrFrom>
                  <a:srgbClr val="FFFFFF"/>
                </a:clrFrom>
                <a:clrTo>
                  <a:srgbClr val="FFFFFF">
                    <a:alpha val="0"/>
                  </a:srgbClr>
                </a:clrTo>
              </a:clrChange>
              <a:duotone>
                <a:schemeClr val="bg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52421" t="18065" r="6002" b="19314"/>
            <a:stretch/>
          </xdr:blipFill>
          <xdr:spPr bwMode="auto">
            <a:xfrm>
              <a:off x="387627" y="972870"/>
              <a:ext cx="143022" cy="146538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cxnSp macro="">
          <xdr:nvCxnSpPr>
            <xdr:cNvPr id="75" name="Conector recto 74">
              <a:extLst>
                <a:ext uri="{FF2B5EF4-FFF2-40B4-BE49-F238E27FC236}">
                  <a16:creationId xmlns:a16="http://schemas.microsoft.com/office/drawing/2014/main" id="{00000000-0008-0000-0300-00004B000000}"/>
                </a:ext>
              </a:extLst>
            </xdr:cNvPr>
            <xdr:cNvCxnSpPr/>
          </xdr:nvCxnSpPr>
          <xdr:spPr>
            <a:xfrm>
              <a:off x="299084" y="1154137"/>
              <a:ext cx="1078378" cy="0"/>
            </a:xfrm>
            <a:prstGeom prst="line">
              <a:avLst/>
            </a:prstGeom>
            <a:ln w="9525">
              <a:solidFill>
                <a:schemeClr val="bg2">
                  <a:lumMod val="75000"/>
                </a:schemeClr>
              </a:solidFill>
            </a:ln>
          </xdr:spPr>
          <xdr:style>
            <a:lnRef idx="2">
              <a:schemeClr val="accent1"/>
            </a:lnRef>
            <a:fillRef idx="0">
              <a:schemeClr val="accent1"/>
            </a:fillRef>
            <a:effectRef idx="1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48" name="Grupo 4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300-000030000000}"/>
              </a:ext>
            </a:extLst>
          </xdr:cNvPr>
          <xdr:cNvGrpSpPr/>
        </xdr:nvGrpSpPr>
        <xdr:grpSpPr>
          <a:xfrm>
            <a:off x="4858493" y="876209"/>
            <a:ext cx="762329" cy="240683"/>
            <a:chOff x="1394313" y="929933"/>
            <a:chExt cx="1089515" cy="234755"/>
          </a:xfrm>
        </xdr:grpSpPr>
        <xdr:sp macro="" textlink="">
          <xdr:nvSpPr>
            <xdr:cNvPr id="71" name="Rectángulo 70">
              <a:extLst>
                <a:ext uri="{FF2B5EF4-FFF2-40B4-BE49-F238E27FC236}">
                  <a16:creationId xmlns:a16="http://schemas.microsoft.com/office/drawing/2014/main" id="{00000000-0008-0000-0300-000047000000}"/>
                </a:ext>
              </a:extLst>
            </xdr:cNvPr>
            <xdr:cNvSpPr/>
          </xdr:nvSpPr>
          <xdr:spPr>
            <a:xfrm>
              <a:off x="1395634" y="929933"/>
              <a:ext cx="1088194" cy="234755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 anchorCtr="0"/>
            <a:lstStyle/>
            <a:p>
              <a:pPr algn="ctr"/>
              <a:r>
                <a:rPr lang="es-MX" sz="1100" b="1">
                  <a:solidFill>
                    <a:schemeClr val="bg2">
                      <a:lumMod val="75000"/>
                    </a:schemeClr>
                  </a:solidFill>
                </a:rPr>
                <a:t>% Utilidad</a:t>
              </a:r>
            </a:p>
          </xdr:txBody>
        </xdr:sp>
        <xdr:cxnSp macro="">
          <xdr:nvCxnSpPr>
            <xdr:cNvPr id="72" name="Conector recto 71">
              <a:extLst>
                <a:ext uri="{FF2B5EF4-FFF2-40B4-BE49-F238E27FC236}">
                  <a16:creationId xmlns:a16="http://schemas.microsoft.com/office/drawing/2014/main" id="{00000000-0008-0000-0300-000048000000}"/>
                </a:ext>
              </a:extLst>
            </xdr:cNvPr>
            <xdr:cNvCxnSpPr/>
          </xdr:nvCxnSpPr>
          <xdr:spPr>
            <a:xfrm>
              <a:off x="1394313" y="1157654"/>
              <a:ext cx="1072663" cy="0"/>
            </a:xfrm>
            <a:prstGeom prst="line">
              <a:avLst/>
            </a:prstGeom>
            <a:ln w="12700">
              <a:solidFill>
                <a:schemeClr val="bg2">
                  <a:lumMod val="75000"/>
                </a:schemeClr>
              </a:solidFill>
            </a:ln>
          </xdr:spPr>
          <xdr:style>
            <a:lnRef idx="2">
              <a:schemeClr val="accent1"/>
            </a:lnRef>
            <a:fillRef idx="0">
              <a:schemeClr val="accent1"/>
            </a:fillRef>
            <a:effectRef idx="1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49" name="Grupo 48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300-000031000000}"/>
              </a:ext>
            </a:extLst>
          </xdr:cNvPr>
          <xdr:cNvGrpSpPr/>
        </xdr:nvGrpSpPr>
        <xdr:grpSpPr>
          <a:xfrm>
            <a:off x="2416003" y="875297"/>
            <a:ext cx="1105414" cy="246337"/>
            <a:chOff x="2398879" y="938714"/>
            <a:chExt cx="1087610" cy="230945"/>
          </a:xfrm>
        </xdr:grpSpPr>
        <xdr:grpSp>
          <xdr:nvGrpSpPr>
            <xdr:cNvPr id="67" name="Grupo 66">
              <a:extLst>
                <a:ext uri="{FF2B5EF4-FFF2-40B4-BE49-F238E27FC236}">
                  <a16:creationId xmlns:a16="http://schemas.microsoft.com/office/drawing/2014/main" id="{00000000-0008-0000-0300-000043000000}"/>
                </a:ext>
              </a:extLst>
            </xdr:cNvPr>
            <xdr:cNvGrpSpPr/>
          </xdr:nvGrpSpPr>
          <xdr:grpSpPr>
            <a:xfrm>
              <a:off x="2398879" y="934904"/>
              <a:ext cx="1091420" cy="230945"/>
              <a:chOff x="1394313" y="929933"/>
              <a:chExt cx="1089515" cy="234755"/>
            </a:xfrm>
          </xdr:grpSpPr>
          <xdr:sp macro="" textlink="">
            <xdr:nvSpPr>
              <xdr:cNvPr id="69" name="Rectángulo 68">
                <a:extLst>
                  <a:ext uri="{FF2B5EF4-FFF2-40B4-BE49-F238E27FC236}">
                    <a16:creationId xmlns:a16="http://schemas.microsoft.com/office/drawing/2014/main" id="{00000000-0008-0000-0300-000045000000}"/>
                  </a:ext>
                </a:extLst>
              </xdr:cNvPr>
              <xdr:cNvSpPr/>
            </xdr:nvSpPr>
            <xdr:spPr>
              <a:xfrm>
                <a:off x="1395634" y="929933"/>
                <a:ext cx="1088194" cy="234755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 anchorCtr="0"/>
              <a:lstStyle/>
              <a:p>
                <a:pPr algn="ctr"/>
                <a:r>
                  <a:rPr lang="es-MX" sz="1100" b="1">
                    <a:solidFill>
                      <a:schemeClr val="bg2">
                        <a:lumMod val="75000"/>
                      </a:schemeClr>
                    </a:solidFill>
                  </a:rPr>
                  <a:t>      Mano de Obra</a:t>
                </a:r>
              </a:p>
            </xdr:txBody>
          </xdr:sp>
          <xdr:cxnSp macro="">
            <xdr:nvCxnSpPr>
              <xdr:cNvPr id="70" name="Conector recto 69">
                <a:extLst>
                  <a:ext uri="{FF2B5EF4-FFF2-40B4-BE49-F238E27FC236}">
                    <a16:creationId xmlns:a16="http://schemas.microsoft.com/office/drawing/2014/main" id="{00000000-0008-0000-0300-000046000000}"/>
                  </a:ext>
                </a:extLst>
              </xdr:cNvPr>
              <xdr:cNvCxnSpPr/>
            </xdr:nvCxnSpPr>
            <xdr:spPr>
              <a:xfrm>
                <a:off x="1394313" y="1157654"/>
                <a:ext cx="1072663" cy="0"/>
              </a:xfrm>
              <a:prstGeom prst="line">
                <a:avLst/>
              </a:prstGeom>
              <a:ln w="12700">
                <a:solidFill>
                  <a:schemeClr val="bg2">
                    <a:lumMod val="75000"/>
                  </a:schemeClr>
                </a:solidFill>
              </a:ln>
            </xdr:spPr>
            <xdr:style>
              <a:lnRef idx="2">
                <a:schemeClr val="accent1"/>
              </a:lnRef>
              <a:fillRef idx="0">
                <a:schemeClr val="accent1"/>
              </a:fillRef>
              <a:effectRef idx="1">
                <a:schemeClr val="accent1"/>
              </a:effectRef>
              <a:fontRef idx="minor">
                <a:schemeClr val="tx1"/>
              </a:fontRef>
            </xdr:style>
          </xdr:cxnSp>
        </xdr:grpSp>
        <xdr:pic>
          <xdr:nvPicPr>
            <xdr:cNvPr id="68" name="Imagen 67">
              <a:extLst>
                <a:ext uri="{FF2B5EF4-FFF2-40B4-BE49-F238E27FC236}">
                  <a16:creationId xmlns:a16="http://schemas.microsoft.com/office/drawing/2014/main" id="{00000000-0008-0000-0300-00004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clrChange>
                <a:clrFrom>
                  <a:srgbClr val="FFFFFF"/>
                </a:clrFrom>
                <a:clrTo>
                  <a:srgbClr val="FFFFFF">
                    <a:alpha val="0"/>
                  </a:srgbClr>
                </a:clrTo>
              </a:clrChange>
              <a:duotone>
                <a:schemeClr val="bg2">
                  <a:shade val="45000"/>
                  <a:satMod val="135000"/>
                </a:schemeClr>
                <a:prstClr val="white"/>
              </a:duotone>
            </a:blip>
            <a:stretch>
              <a:fillRect/>
            </a:stretch>
          </xdr:blipFill>
          <xdr:spPr>
            <a:xfrm flipH="1">
              <a:off x="2423351" y="973789"/>
              <a:ext cx="190793" cy="157769"/>
            </a:xfrm>
            <a:prstGeom prst="rect">
              <a:avLst/>
            </a:prstGeom>
          </xdr:spPr>
        </xdr:pic>
      </xdr:grpSp>
      <xdr:grpSp>
        <xdr:nvGrpSpPr>
          <xdr:cNvPr id="50" name="Grupo 49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300-000032000000}"/>
              </a:ext>
            </a:extLst>
          </xdr:cNvPr>
          <xdr:cNvGrpSpPr/>
        </xdr:nvGrpSpPr>
        <xdr:grpSpPr>
          <a:xfrm>
            <a:off x="3552495" y="871940"/>
            <a:ext cx="1281355" cy="240683"/>
            <a:chOff x="3508028" y="937541"/>
            <a:chExt cx="1274885" cy="229040"/>
          </a:xfrm>
        </xdr:grpSpPr>
        <xdr:grpSp>
          <xdr:nvGrpSpPr>
            <xdr:cNvPr id="63" name="Grupo 62">
              <a:extLst>
                <a:ext uri="{FF2B5EF4-FFF2-40B4-BE49-F238E27FC236}">
                  <a16:creationId xmlns:a16="http://schemas.microsoft.com/office/drawing/2014/main" id="{00000000-0008-0000-0300-00003F000000}"/>
                </a:ext>
              </a:extLst>
            </xdr:cNvPr>
            <xdr:cNvGrpSpPr/>
          </xdr:nvGrpSpPr>
          <xdr:grpSpPr>
            <a:xfrm>
              <a:off x="3508028" y="937541"/>
              <a:ext cx="1274885" cy="229040"/>
              <a:chOff x="1394313" y="929933"/>
              <a:chExt cx="1089515" cy="234755"/>
            </a:xfrm>
          </xdr:grpSpPr>
          <xdr:sp macro="" textlink="">
            <xdr:nvSpPr>
              <xdr:cNvPr id="65" name="Rectángulo 64">
                <a:extLst>
                  <a:ext uri="{FF2B5EF4-FFF2-40B4-BE49-F238E27FC236}">
                    <a16:creationId xmlns:a16="http://schemas.microsoft.com/office/drawing/2014/main" id="{00000000-0008-0000-0300-000041000000}"/>
                  </a:ext>
                </a:extLst>
              </xdr:cNvPr>
              <xdr:cNvSpPr/>
            </xdr:nvSpPr>
            <xdr:spPr>
              <a:xfrm>
                <a:off x="1395634" y="929933"/>
                <a:ext cx="1088194" cy="234755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 anchorCtr="0"/>
              <a:lstStyle/>
              <a:p>
                <a:pPr algn="ctr"/>
                <a:r>
                  <a:rPr lang="es-MX" sz="1100" b="1">
                    <a:solidFill>
                      <a:schemeClr val="accent1"/>
                    </a:solidFill>
                  </a:rPr>
                  <a:t>      Costos</a:t>
                </a:r>
                <a:r>
                  <a:rPr lang="es-MX" sz="1100" b="1" baseline="0">
                    <a:solidFill>
                      <a:schemeClr val="accent1"/>
                    </a:solidFill>
                  </a:rPr>
                  <a:t> Indirectos</a:t>
                </a:r>
                <a:endParaRPr lang="es-MX" sz="1100" b="1">
                  <a:solidFill>
                    <a:schemeClr val="accent1"/>
                  </a:solidFill>
                </a:endParaRPr>
              </a:p>
            </xdr:txBody>
          </xdr:sp>
          <xdr:cxnSp macro="">
            <xdr:nvCxnSpPr>
              <xdr:cNvPr id="66" name="Conector recto 65">
                <a:extLst>
                  <a:ext uri="{FF2B5EF4-FFF2-40B4-BE49-F238E27FC236}">
                    <a16:creationId xmlns:a16="http://schemas.microsoft.com/office/drawing/2014/main" id="{00000000-0008-0000-0300-000042000000}"/>
                  </a:ext>
                </a:extLst>
              </xdr:cNvPr>
              <xdr:cNvCxnSpPr/>
            </xdr:nvCxnSpPr>
            <xdr:spPr>
              <a:xfrm>
                <a:off x="1394313" y="1157654"/>
                <a:ext cx="1072663" cy="0"/>
              </a:xfrm>
              <a:prstGeom prst="line">
                <a:avLst/>
              </a:prstGeom>
              <a:ln w="28575">
                <a:solidFill>
                  <a:schemeClr val="accent1"/>
                </a:solidFill>
              </a:ln>
            </xdr:spPr>
            <xdr:style>
              <a:lnRef idx="2">
                <a:schemeClr val="accent1"/>
              </a:lnRef>
              <a:fillRef idx="0">
                <a:schemeClr val="accent1"/>
              </a:fillRef>
              <a:effectRef idx="1">
                <a:schemeClr val="accent1"/>
              </a:effectRef>
              <a:fontRef idx="minor">
                <a:schemeClr val="tx1"/>
              </a:fontRef>
            </xdr:style>
          </xdr:cxnSp>
        </xdr:grpSp>
        <xdr:pic>
          <xdr:nvPicPr>
            <xdr:cNvPr id="64" name="Gráfico 63" descr="Monedas con relleno sólido">
              <a:extLst>
                <a:ext uri="{FF2B5EF4-FFF2-40B4-BE49-F238E27FC236}">
                  <a16:creationId xmlns:a16="http://schemas.microsoft.com/office/drawing/2014/main" id="{00000000-0008-0000-0300-00004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 flipH="1">
              <a:off x="3529589" y="941774"/>
              <a:ext cx="185259" cy="203816"/>
            </a:xfrm>
            <a:prstGeom prst="rect">
              <a:avLst/>
            </a:prstGeom>
          </xdr:spPr>
        </xdr:pic>
      </xdr:grpSp>
      <xdr:grpSp>
        <xdr:nvGrpSpPr>
          <xdr:cNvPr id="51" name="Grupo 50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300-000033000000}"/>
              </a:ext>
            </a:extLst>
          </xdr:cNvPr>
          <xdr:cNvGrpSpPr/>
        </xdr:nvGrpSpPr>
        <xdr:grpSpPr>
          <a:xfrm>
            <a:off x="5641325" y="879750"/>
            <a:ext cx="910267" cy="233355"/>
            <a:chOff x="5582531" y="937541"/>
            <a:chExt cx="894469" cy="232850"/>
          </a:xfrm>
        </xdr:grpSpPr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00000000-0008-0000-0300-00003B000000}"/>
                </a:ext>
              </a:extLst>
            </xdr:cNvPr>
            <xdr:cNvGrpSpPr/>
          </xdr:nvGrpSpPr>
          <xdr:grpSpPr>
            <a:xfrm>
              <a:off x="5582531" y="937541"/>
              <a:ext cx="894469" cy="232850"/>
              <a:chOff x="1394313" y="929933"/>
              <a:chExt cx="1089515" cy="234755"/>
            </a:xfrm>
          </xdr:grpSpPr>
          <xdr:sp macro="" textlink="">
            <xdr:nvSpPr>
              <xdr:cNvPr id="61" name="Rectángulo 60">
                <a:extLst>
                  <a:ext uri="{FF2B5EF4-FFF2-40B4-BE49-F238E27FC236}">
                    <a16:creationId xmlns:a16="http://schemas.microsoft.com/office/drawing/2014/main" id="{00000000-0008-0000-0300-00003D000000}"/>
                  </a:ext>
                </a:extLst>
              </xdr:cNvPr>
              <xdr:cNvSpPr/>
            </xdr:nvSpPr>
            <xdr:spPr>
              <a:xfrm>
                <a:off x="1395634" y="929933"/>
                <a:ext cx="1088194" cy="234755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 anchorCtr="0"/>
              <a:lstStyle/>
              <a:p>
                <a:pPr algn="ctr"/>
                <a:r>
                  <a:rPr lang="es-MX" sz="1100" b="1">
                    <a:solidFill>
                      <a:schemeClr val="bg2">
                        <a:lumMod val="75000"/>
                      </a:schemeClr>
                    </a:solidFill>
                  </a:rPr>
                  <a:t>     Resumen</a:t>
                </a:r>
              </a:p>
            </xdr:txBody>
          </xdr:sp>
          <xdr:cxnSp macro="">
            <xdr:nvCxnSpPr>
              <xdr:cNvPr id="62" name="Conector recto 61">
                <a:extLst>
                  <a:ext uri="{FF2B5EF4-FFF2-40B4-BE49-F238E27FC236}">
                    <a16:creationId xmlns:a16="http://schemas.microsoft.com/office/drawing/2014/main" id="{00000000-0008-0000-0300-00003E000000}"/>
                  </a:ext>
                </a:extLst>
              </xdr:cNvPr>
              <xdr:cNvCxnSpPr/>
            </xdr:nvCxnSpPr>
            <xdr:spPr>
              <a:xfrm>
                <a:off x="1394313" y="1157654"/>
                <a:ext cx="1072663" cy="0"/>
              </a:xfrm>
              <a:prstGeom prst="line">
                <a:avLst/>
              </a:prstGeom>
              <a:ln w="12700">
                <a:solidFill>
                  <a:schemeClr val="bg2">
                    <a:lumMod val="75000"/>
                  </a:schemeClr>
                </a:solidFill>
              </a:ln>
            </xdr:spPr>
            <xdr:style>
              <a:lnRef idx="2">
                <a:schemeClr val="accent1"/>
              </a:lnRef>
              <a:fillRef idx="0">
                <a:schemeClr val="accent1"/>
              </a:fillRef>
              <a:effectRef idx="1">
                <a:schemeClr val="accent1"/>
              </a:effectRef>
              <a:fontRef idx="minor">
                <a:schemeClr val="tx1"/>
              </a:fontRef>
            </xdr:style>
          </xdr:cxnSp>
        </xdr:grpSp>
        <xdr:pic>
          <xdr:nvPicPr>
            <xdr:cNvPr id="60" name="Gráfico 59" descr="Lista con relleno sólido">
              <a:extLst>
                <a:ext uri="{FF2B5EF4-FFF2-40B4-BE49-F238E27FC236}">
                  <a16:creationId xmlns:a16="http://schemas.microsoft.com/office/drawing/2014/main" id="{00000000-0008-0000-0300-00003C000000}"/>
                </a:ext>
              </a:extLst>
            </xdr:cNvPr>
            <xdr:cNvPicPr preferRelativeResize="0">
              <a:picLocks/>
            </xdr:cNvPicPr>
          </xdr:nvPicPr>
          <xdr:blipFill>
            <a:blip xmlns:r="http://schemas.openxmlformats.org/officeDocument/2006/relationships" r:embed="rId1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2"/>
                </a:ext>
              </a:extLst>
            </a:blip>
            <a:stretch>
              <a:fillRect/>
            </a:stretch>
          </xdr:blipFill>
          <xdr:spPr>
            <a:xfrm>
              <a:off x="5658511" y="956163"/>
              <a:ext cx="179125" cy="189597"/>
            </a:xfrm>
            <a:prstGeom prst="rect">
              <a:avLst/>
            </a:prstGeom>
          </xdr:spPr>
        </xdr:pic>
      </xdr:grpSp>
      <xdr:grpSp>
        <xdr:nvGrpSpPr>
          <xdr:cNvPr id="52" name="Grupo 51">
            <a:extLst>
              <a:ext uri="{FF2B5EF4-FFF2-40B4-BE49-F238E27FC236}">
                <a16:creationId xmlns:a16="http://schemas.microsoft.com/office/drawing/2014/main" id="{00000000-0008-0000-0300-000034000000}"/>
              </a:ext>
            </a:extLst>
          </xdr:cNvPr>
          <xdr:cNvGrpSpPr/>
        </xdr:nvGrpSpPr>
        <xdr:grpSpPr>
          <a:xfrm>
            <a:off x="1287569" y="879470"/>
            <a:ext cx="1095896" cy="225566"/>
            <a:chOff x="1290169" y="941058"/>
            <a:chExt cx="1095230" cy="225230"/>
          </a:xfrm>
        </xdr:grpSpPr>
        <xdr:grpSp>
          <xdr:nvGrpSpPr>
            <xdr:cNvPr id="55" name="Grupo 54">
              <a:extLst>
                <a:ext uri="{FF2B5EF4-FFF2-40B4-BE49-F238E27FC236}">
                  <a16:creationId xmlns:a16="http://schemas.microsoft.com/office/drawing/2014/main" id="{00000000-0008-0000-0300-000037000000}"/>
                </a:ext>
              </a:extLst>
            </xdr:cNvPr>
            <xdr:cNvGrpSpPr/>
          </xdr:nvGrpSpPr>
          <xdr:grpSpPr>
            <a:xfrm>
              <a:off x="1288264" y="937248"/>
              <a:ext cx="1093325" cy="232850"/>
              <a:chOff x="1394313" y="928000"/>
              <a:chExt cx="1089515" cy="232882"/>
            </a:xfrm>
          </xdr:grpSpPr>
          <xdr:sp macro="" textlink="">
            <xdr:nvSpPr>
              <xdr:cNvPr id="57" name="Rectángulo 56">
                <a:hlinkClick xmlns:r="http://schemas.openxmlformats.org/officeDocument/2006/relationships" r:id="rId13"/>
                <a:extLst>
                  <a:ext uri="{FF2B5EF4-FFF2-40B4-BE49-F238E27FC236}">
                    <a16:creationId xmlns:a16="http://schemas.microsoft.com/office/drawing/2014/main" id="{00000000-0008-0000-0300-000039000000}"/>
                  </a:ext>
                </a:extLst>
              </xdr:cNvPr>
              <xdr:cNvSpPr/>
            </xdr:nvSpPr>
            <xdr:spPr>
              <a:xfrm>
                <a:off x="1399439" y="928000"/>
                <a:ext cx="1084389" cy="232882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 anchorCtr="0"/>
              <a:lstStyle/>
              <a:p>
                <a:pPr algn="ctr"/>
                <a:r>
                  <a:rPr lang="es-MX" sz="1100" b="1">
                    <a:solidFill>
                      <a:schemeClr val="bg2">
                        <a:lumMod val="75000"/>
                      </a:schemeClr>
                    </a:solidFill>
                  </a:rPr>
                  <a:t>     Materiales</a:t>
                </a:r>
              </a:p>
            </xdr:txBody>
          </xdr:sp>
          <xdr:cxnSp macro="">
            <xdr:nvCxnSpPr>
              <xdr:cNvPr id="58" name="Conector recto 57">
                <a:extLst>
                  <a:ext uri="{FF2B5EF4-FFF2-40B4-BE49-F238E27FC236}">
                    <a16:creationId xmlns:a16="http://schemas.microsoft.com/office/drawing/2014/main" id="{00000000-0008-0000-0300-00003A000000}"/>
                  </a:ext>
                </a:extLst>
              </xdr:cNvPr>
              <xdr:cNvCxnSpPr/>
            </xdr:nvCxnSpPr>
            <xdr:spPr>
              <a:xfrm>
                <a:off x="1394313" y="1157654"/>
                <a:ext cx="1072663" cy="0"/>
              </a:xfrm>
              <a:prstGeom prst="line">
                <a:avLst/>
              </a:prstGeom>
              <a:ln w="12700">
                <a:solidFill>
                  <a:schemeClr val="bg2">
                    <a:lumMod val="75000"/>
                  </a:schemeClr>
                </a:solidFill>
              </a:ln>
            </xdr:spPr>
            <xdr:style>
              <a:lnRef idx="2">
                <a:schemeClr val="accent1"/>
              </a:lnRef>
              <a:fillRef idx="0">
                <a:schemeClr val="accent1"/>
              </a:fillRef>
              <a:effectRef idx="1">
                <a:schemeClr val="accent1"/>
              </a:effectRef>
              <a:fontRef idx="minor">
                <a:schemeClr val="tx1"/>
              </a:fontRef>
            </xdr:style>
          </xdr:cxnSp>
        </xdr:grpSp>
        <xdr:pic>
          <xdr:nvPicPr>
            <xdr:cNvPr id="56" name="Gráfico 55" descr="Carro de la compra con relleno sólido">
              <a:extLst>
                <a:ext uri="{FF2B5EF4-FFF2-40B4-BE49-F238E27FC236}">
                  <a16:creationId xmlns:a16="http://schemas.microsoft.com/office/drawing/2014/main" id="{00000000-0008-0000-0300-000038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5"/>
                </a:ext>
              </a:extLst>
            </a:blip>
            <a:stretch>
              <a:fillRect/>
            </a:stretch>
          </xdr:blipFill>
          <xdr:spPr>
            <a:xfrm>
              <a:off x="1391225" y="961041"/>
              <a:ext cx="195388" cy="189205"/>
            </a:xfrm>
            <a:prstGeom prst="rect">
              <a:avLst/>
            </a:prstGeom>
          </xdr:spPr>
        </xdr:pic>
      </xdr:grpSp>
      <xdr:pic>
        <xdr:nvPicPr>
          <xdr:cNvPr id="53" name="Imagen 52">
            <a:extLst>
              <a:ext uri="{FF2B5EF4-FFF2-40B4-BE49-F238E27FC236}">
                <a16:creationId xmlns:a16="http://schemas.microsoft.com/office/drawing/2014/main" id="{00000000-0008-0000-0300-000035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 bwMode="auto">
          <a:xfrm>
            <a:off x="162221" y="215703"/>
            <a:ext cx="453506" cy="44928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4" name="Rectángulo 53">
            <a:extLst>
              <a:ext uri="{FF2B5EF4-FFF2-40B4-BE49-F238E27FC236}">
                <a16:creationId xmlns:a16="http://schemas.microsoft.com/office/drawing/2014/main" id="{00000000-0008-0000-0300-000036000000}"/>
              </a:ext>
            </a:extLst>
          </xdr:cNvPr>
          <xdr:cNvSpPr/>
        </xdr:nvSpPr>
        <xdr:spPr>
          <a:xfrm>
            <a:off x="572643" y="212186"/>
            <a:ext cx="3125412" cy="45793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l"/>
            <a:r>
              <a:rPr lang="es-MX" sz="1600" b="1" i="0" u="none">
                <a:solidFill>
                  <a:sysClr val="windowText" lastClr="000000"/>
                </a:solidFill>
              </a:rPr>
              <a:t>Plantilla</a:t>
            </a:r>
            <a:r>
              <a:rPr lang="es-MX" sz="1600" b="1" i="0" u="none" baseline="0">
                <a:solidFill>
                  <a:sysClr val="windowText" lastClr="000000"/>
                </a:solidFill>
              </a:rPr>
              <a:t> Inteligente de Muebles</a:t>
            </a:r>
            <a:endParaRPr lang="es-MX" sz="1600" b="1" i="0" u="none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7</xdr:col>
      <xdr:colOff>1876425</xdr:colOff>
      <xdr:row>5</xdr:row>
      <xdr:rowOff>76200</xdr:rowOff>
    </xdr:from>
    <xdr:to>
      <xdr:col>9</xdr:col>
      <xdr:colOff>169545</xdr:colOff>
      <xdr:row>7</xdr:row>
      <xdr:rowOff>0</xdr:rowOff>
    </xdr:to>
    <xdr:sp macro="[0]!Borrar_Campos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SpPr/>
      </xdr:nvSpPr>
      <xdr:spPr>
        <a:xfrm>
          <a:off x="5924550" y="1428750"/>
          <a:ext cx="1116330" cy="215265"/>
        </a:xfrm>
        <a:prstGeom prst="roundRect">
          <a:avLst/>
        </a:prstGeom>
        <a:solidFill>
          <a:srgbClr val="0070C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s-MX" sz="1100"/>
            <a:t>Limpiar cotización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391770</xdr:colOff>
      <xdr:row>21</xdr:row>
      <xdr:rowOff>112395</xdr:rowOff>
    </xdr:from>
    <xdr:to>
      <xdr:col>13</xdr:col>
      <xdr:colOff>0</xdr:colOff>
      <xdr:row>23</xdr:row>
      <xdr:rowOff>55245</xdr:rowOff>
    </xdr:to>
    <xdr:sp macro="" textlink="">
      <xdr:nvSpPr>
        <xdr:cNvPr id="6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6259170" y="3922395"/>
          <a:ext cx="985545" cy="285750"/>
        </a:xfrm>
        <a:prstGeom prst="roundRect">
          <a:avLst/>
        </a:prstGeom>
        <a:solidFill>
          <a:srgbClr val="00206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s-MX" sz="1100"/>
            <a:t>Siguiente </a:t>
          </a:r>
          <a:r>
            <a:rPr lang="es-MX" sz="1100">
              <a:sym typeface="Wingdings" panose="05000000000000000000" pitchFamily="2" charset="2"/>
            </a:rPr>
            <a:t></a:t>
          </a:r>
          <a:endParaRPr lang="es-MX" sz="1100"/>
        </a:p>
      </xdr:txBody>
    </xdr:sp>
    <xdr:clientData/>
  </xdr:twoCellAnchor>
  <xdr:twoCellAnchor editAs="absolute">
    <xdr:from>
      <xdr:col>2</xdr:col>
      <xdr:colOff>58394</xdr:colOff>
      <xdr:row>5</xdr:row>
      <xdr:rowOff>96824</xdr:rowOff>
    </xdr:from>
    <xdr:to>
      <xdr:col>2</xdr:col>
      <xdr:colOff>819217</xdr:colOff>
      <xdr:row>7</xdr:row>
      <xdr:rowOff>20712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359384" y="1449374"/>
          <a:ext cx="764633" cy="219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es-MX" sz="1400" b="1">
              <a:solidFill>
                <a:schemeClr val="accent5"/>
              </a:solidFill>
            </a:rPr>
            <a:t>% Utilidad</a:t>
          </a:r>
        </a:p>
      </xdr:txBody>
    </xdr:sp>
    <xdr:clientData/>
  </xdr:twoCellAnchor>
  <xdr:twoCellAnchor editAs="oneCell">
    <xdr:from>
      <xdr:col>0</xdr:col>
      <xdr:colOff>160020</xdr:colOff>
      <xdr:row>21</xdr:row>
      <xdr:rowOff>114300</xdr:rowOff>
    </xdr:from>
    <xdr:to>
      <xdr:col>2</xdr:col>
      <xdr:colOff>819150</xdr:colOff>
      <xdr:row>23</xdr:row>
      <xdr:rowOff>57705</xdr:rowOff>
    </xdr:to>
    <xdr:sp macro="" textlink="">
      <xdr:nvSpPr>
        <xdr:cNvPr id="8" name="Rectángulo: esquinas redondeadas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160020" y="3924300"/>
          <a:ext cx="963930" cy="282495"/>
        </a:xfrm>
        <a:prstGeom prst="round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s-MX" sz="1100">
              <a:sym typeface="Wingdings" panose="05000000000000000000" pitchFamily="2" charset="2"/>
            </a:rPr>
            <a:t></a:t>
          </a:r>
          <a:r>
            <a:rPr lang="es-MX" sz="1100" baseline="0">
              <a:sym typeface="Wingdings" panose="05000000000000000000" pitchFamily="2" charset="2"/>
            </a:rPr>
            <a:t> Anterior</a:t>
          </a:r>
          <a:endParaRPr lang="es-MX" sz="1100"/>
        </a:p>
      </xdr:txBody>
    </xdr:sp>
    <xdr:clientData/>
  </xdr:twoCellAnchor>
  <xdr:twoCellAnchor>
    <xdr:from>
      <xdr:col>8</xdr:col>
      <xdr:colOff>201930</xdr:colOff>
      <xdr:row>16</xdr:row>
      <xdr:rowOff>165735</xdr:rowOff>
    </xdr:from>
    <xdr:to>
      <xdr:col>9</xdr:col>
      <xdr:colOff>1196340</xdr:colOff>
      <xdr:row>16</xdr:row>
      <xdr:rowOff>165735</xdr:rowOff>
    </xdr:to>
    <xdr:cxnSp macro="">
      <xdr:nvCxnSpPr>
        <xdr:cNvPr id="9" name="Conector recto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CxnSpPr/>
      </xdr:nvCxnSpPr>
      <xdr:spPr>
        <a:xfrm>
          <a:off x="5109210" y="3228975"/>
          <a:ext cx="4118610" cy="0"/>
        </a:xfrm>
        <a:prstGeom prst="line">
          <a:avLst/>
        </a:prstGeom>
        <a:ln w="6350">
          <a:solidFill>
            <a:schemeClr val="bg1">
              <a:lumMod val="75000"/>
            </a:schemeClr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201930</xdr:colOff>
      <xdr:row>13</xdr:row>
      <xdr:rowOff>173355</xdr:rowOff>
    </xdr:from>
    <xdr:to>
      <xdr:col>9</xdr:col>
      <xdr:colOff>1196340</xdr:colOff>
      <xdr:row>13</xdr:row>
      <xdr:rowOff>173355</xdr:rowOff>
    </xdr:to>
    <xdr:cxnSp macro="">
      <xdr:nvCxnSpPr>
        <xdr:cNvPr id="39" name="Conector recto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CxnSpPr/>
      </xdr:nvCxnSpPr>
      <xdr:spPr>
        <a:xfrm>
          <a:off x="5109210" y="2710815"/>
          <a:ext cx="4118610" cy="0"/>
        </a:xfrm>
        <a:prstGeom prst="line">
          <a:avLst/>
        </a:prstGeom>
        <a:ln w="6350">
          <a:solidFill>
            <a:schemeClr val="bg1">
              <a:lumMod val="75000"/>
            </a:schemeClr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129540</xdr:colOff>
      <xdr:row>7</xdr:row>
      <xdr:rowOff>38100</xdr:rowOff>
    </xdr:from>
    <xdr:to>
      <xdr:col>11</xdr:col>
      <xdr:colOff>19050</xdr:colOff>
      <xdr:row>7</xdr:row>
      <xdr:rowOff>38100</xdr:rowOff>
    </xdr:to>
    <xdr:cxnSp macro="">
      <xdr:nvCxnSpPr>
        <xdr:cNvPr id="38" name="Conector recto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CxnSpPr/>
      </xdr:nvCxnSpPr>
      <xdr:spPr>
        <a:xfrm>
          <a:off x="291465" y="1685925"/>
          <a:ext cx="9071610" cy="0"/>
        </a:xfrm>
        <a:prstGeom prst="line">
          <a:avLst/>
        </a:prstGeom>
        <a:ln w="3175">
          <a:solidFill>
            <a:schemeClr val="accent5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901065</xdr:colOff>
      <xdr:row>12</xdr:row>
      <xdr:rowOff>20955</xdr:rowOff>
    </xdr:from>
    <xdr:to>
      <xdr:col>2</xdr:col>
      <xdr:colOff>1694970</xdr:colOff>
      <xdr:row>13</xdr:row>
      <xdr:rowOff>93345</xdr:rowOff>
    </xdr:to>
    <xdr:sp macro="[0]!Mrgn_50" textlink="">
      <xdr:nvSpPr>
        <xdr:cNvPr id="45" name="Rectángulo: esquinas redondeadas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/>
      </xdr:nvSpPr>
      <xdr:spPr>
        <a:xfrm>
          <a:off x="1205865" y="2373630"/>
          <a:ext cx="793905" cy="247650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s-MX" sz="1000"/>
            <a:t>Utilidad 50%</a:t>
          </a:r>
        </a:p>
      </xdr:txBody>
    </xdr:sp>
    <xdr:clientData/>
  </xdr:twoCellAnchor>
  <xdr:twoCellAnchor editAs="oneCell">
    <xdr:from>
      <xdr:col>2</xdr:col>
      <xdr:colOff>1729740</xdr:colOff>
      <xdr:row>12</xdr:row>
      <xdr:rowOff>20955</xdr:rowOff>
    </xdr:from>
    <xdr:to>
      <xdr:col>4</xdr:col>
      <xdr:colOff>58380</xdr:colOff>
      <xdr:row>13</xdr:row>
      <xdr:rowOff>93345</xdr:rowOff>
    </xdr:to>
    <xdr:sp macro="[0]!Mrgn_100" textlink="">
      <xdr:nvSpPr>
        <xdr:cNvPr id="46" name="Rectángulo: esquinas redondeadas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SpPr/>
      </xdr:nvSpPr>
      <xdr:spPr>
        <a:xfrm>
          <a:off x="2034540" y="2373630"/>
          <a:ext cx="820380" cy="247650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s-MX" sz="1000"/>
            <a:t>Utilidad 100%</a:t>
          </a:r>
        </a:p>
      </xdr:txBody>
    </xdr:sp>
    <xdr:clientData/>
  </xdr:twoCellAnchor>
  <xdr:twoCellAnchor editAs="oneCell">
    <xdr:from>
      <xdr:col>4</xdr:col>
      <xdr:colOff>95250</xdr:colOff>
      <xdr:row>12</xdr:row>
      <xdr:rowOff>20955</xdr:rowOff>
    </xdr:from>
    <xdr:to>
      <xdr:col>6</xdr:col>
      <xdr:colOff>58380</xdr:colOff>
      <xdr:row>13</xdr:row>
      <xdr:rowOff>93345</xdr:rowOff>
    </xdr:to>
    <xdr:sp macro="[0]!Mrgn_150" textlink="">
      <xdr:nvSpPr>
        <xdr:cNvPr id="47" name="Rectángulo: esquinas redondeadas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/>
      </xdr:nvSpPr>
      <xdr:spPr>
        <a:xfrm>
          <a:off x="2895600" y="2373630"/>
          <a:ext cx="826095" cy="247650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s-MX" sz="1000"/>
            <a:t>Utilidad 150%</a:t>
          </a:r>
        </a:p>
      </xdr:txBody>
    </xdr:sp>
    <xdr:clientData/>
  </xdr:twoCellAnchor>
  <xdr:twoCellAnchor editAs="oneCell">
    <xdr:from>
      <xdr:col>2</xdr:col>
      <xdr:colOff>64770</xdr:colOff>
      <xdr:row>12</xdr:row>
      <xdr:rowOff>20955</xdr:rowOff>
    </xdr:from>
    <xdr:to>
      <xdr:col>2</xdr:col>
      <xdr:colOff>856770</xdr:colOff>
      <xdr:row>13</xdr:row>
      <xdr:rowOff>93345</xdr:rowOff>
    </xdr:to>
    <xdr:sp macro="[0]!Mrgn_25" textlink="">
      <xdr:nvSpPr>
        <xdr:cNvPr id="48" name="Rectángulo: esquinas redondeadas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SpPr/>
      </xdr:nvSpPr>
      <xdr:spPr>
        <a:xfrm>
          <a:off x="369570" y="2373630"/>
          <a:ext cx="792000" cy="247650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s-MX" sz="1000"/>
            <a:t>Utilidad 25%</a:t>
          </a:r>
        </a:p>
      </xdr:txBody>
    </xdr:sp>
    <xdr:clientData/>
  </xdr:twoCellAnchor>
  <xdr:twoCellAnchor editAs="absolute">
    <xdr:from>
      <xdr:col>1</xdr:col>
      <xdr:colOff>0</xdr:colOff>
      <xdr:row>1</xdr:row>
      <xdr:rowOff>37090</xdr:rowOff>
    </xdr:from>
    <xdr:to>
      <xdr:col>9</xdr:col>
      <xdr:colOff>702964</xdr:colOff>
      <xdr:row>3</xdr:row>
      <xdr:rowOff>211059</xdr:rowOff>
    </xdr:to>
    <xdr:grpSp>
      <xdr:nvGrpSpPr>
        <xdr:cNvPr id="44" name="Grupo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GrpSpPr/>
      </xdr:nvGrpSpPr>
      <xdr:grpSpPr>
        <a:xfrm>
          <a:off x="152400" y="200920"/>
          <a:ext cx="6109354" cy="928349"/>
          <a:chOff x="161925" y="212186"/>
          <a:chExt cx="6389667" cy="909448"/>
        </a:xfrm>
      </xdr:grpSpPr>
      <xdr:grpSp>
        <xdr:nvGrpSpPr>
          <xdr:cNvPr id="51" name="Grupo 50">
            <a:extLst>
              <a:ext uri="{FF2B5EF4-FFF2-40B4-BE49-F238E27FC236}">
                <a16:creationId xmlns:a16="http://schemas.microsoft.com/office/drawing/2014/main" id="{00000000-0008-0000-0400-000033000000}"/>
              </a:ext>
            </a:extLst>
          </xdr:cNvPr>
          <xdr:cNvGrpSpPr/>
        </xdr:nvGrpSpPr>
        <xdr:grpSpPr>
          <a:xfrm>
            <a:off x="161925" y="879470"/>
            <a:ext cx="1096039" cy="233063"/>
            <a:chOff x="299084" y="926416"/>
            <a:chExt cx="1089515" cy="232850"/>
          </a:xfrm>
        </xdr:grpSpPr>
        <xdr:sp macro="" textlink="">
          <xdr:nvSpPr>
            <xdr:cNvPr id="77" name="Rectángulo 76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400-00004D000000}"/>
                </a:ext>
              </a:extLst>
            </xdr:cNvPr>
            <xdr:cNvSpPr/>
          </xdr:nvSpPr>
          <xdr:spPr>
            <a:xfrm>
              <a:off x="300405" y="926416"/>
              <a:ext cx="1088194" cy="2328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 anchorCtr="0"/>
            <a:lstStyle/>
            <a:p>
              <a:pPr algn="l"/>
              <a:r>
                <a:rPr lang="es-MX" sz="1100" b="1">
                  <a:solidFill>
                    <a:schemeClr val="bg2">
                      <a:lumMod val="75000"/>
                    </a:schemeClr>
                  </a:solidFill>
                </a:rPr>
                <a:t>        Información </a:t>
              </a:r>
            </a:p>
          </xdr:txBody>
        </xdr:sp>
        <xdr:pic>
          <xdr:nvPicPr>
            <xdr:cNvPr id="78" name="Imagen 77" descr="Icono Informacion Vectores, Iconos, Gráficos y Fondos para Descargar Gratis">
              <a:extLst>
                <a:ext uri="{FF2B5EF4-FFF2-40B4-BE49-F238E27FC236}">
                  <a16:creationId xmlns:a16="http://schemas.microsoft.com/office/drawing/2014/main" id="{00000000-0008-0000-0400-00004E000000}"/>
                </a:ext>
              </a:extLst>
            </xdr:cNvPr>
            <xdr:cNvPicPr preferRelativeResize="0">
              <a:picLocks noChangeArrowheads="1"/>
            </xdr:cNvPicPr>
          </xdr:nvPicPr>
          <xdr:blipFill rotWithShape="1">
            <a:blip xmlns:r="http://schemas.openxmlformats.org/officeDocument/2006/relationships" r:embed="rId4" cstate="print">
              <a:clrChange>
                <a:clrFrom>
                  <a:srgbClr val="FFFFFF"/>
                </a:clrFrom>
                <a:clrTo>
                  <a:srgbClr val="FFFFFF">
                    <a:alpha val="0"/>
                  </a:srgbClr>
                </a:clrTo>
              </a:clrChange>
              <a:duotone>
                <a:schemeClr val="bg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52421" t="18065" r="6002" b="19314"/>
            <a:stretch/>
          </xdr:blipFill>
          <xdr:spPr bwMode="auto">
            <a:xfrm>
              <a:off x="387627" y="972870"/>
              <a:ext cx="143022" cy="146538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cxnSp macro="">
          <xdr:nvCxnSpPr>
            <xdr:cNvPr id="79" name="Conector recto 78">
              <a:extLst>
                <a:ext uri="{FF2B5EF4-FFF2-40B4-BE49-F238E27FC236}">
                  <a16:creationId xmlns:a16="http://schemas.microsoft.com/office/drawing/2014/main" id="{00000000-0008-0000-0400-00004F000000}"/>
                </a:ext>
              </a:extLst>
            </xdr:cNvPr>
            <xdr:cNvCxnSpPr/>
          </xdr:nvCxnSpPr>
          <xdr:spPr>
            <a:xfrm>
              <a:off x="299084" y="1154137"/>
              <a:ext cx="1078378" cy="0"/>
            </a:xfrm>
            <a:prstGeom prst="line">
              <a:avLst/>
            </a:prstGeom>
            <a:ln w="9525">
              <a:solidFill>
                <a:schemeClr val="bg2">
                  <a:lumMod val="75000"/>
                </a:schemeClr>
              </a:solidFill>
            </a:ln>
          </xdr:spPr>
          <xdr:style>
            <a:lnRef idx="2">
              <a:schemeClr val="accent1"/>
            </a:lnRef>
            <a:fillRef idx="0">
              <a:schemeClr val="accent1"/>
            </a:fillRef>
            <a:effectRef idx="1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52" name="Grupo 51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400-000034000000}"/>
              </a:ext>
            </a:extLst>
          </xdr:cNvPr>
          <xdr:cNvGrpSpPr/>
        </xdr:nvGrpSpPr>
        <xdr:grpSpPr>
          <a:xfrm>
            <a:off x="4858493" y="876209"/>
            <a:ext cx="762329" cy="240683"/>
            <a:chOff x="1394313" y="929933"/>
            <a:chExt cx="1089515" cy="234755"/>
          </a:xfrm>
        </xdr:grpSpPr>
        <xdr:sp macro="" textlink="">
          <xdr:nvSpPr>
            <xdr:cNvPr id="75" name="Rectángulo 74">
              <a:extLst>
                <a:ext uri="{FF2B5EF4-FFF2-40B4-BE49-F238E27FC236}">
                  <a16:creationId xmlns:a16="http://schemas.microsoft.com/office/drawing/2014/main" id="{00000000-0008-0000-0400-00004B000000}"/>
                </a:ext>
              </a:extLst>
            </xdr:cNvPr>
            <xdr:cNvSpPr/>
          </xdr:nvSpPr>
          <xdr:spPr>
            <a:xfrm>
              <a:off x="1395634" y="929933"/>
              <a:ext cx="1088194" cy="234755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 anchorCtr="0"/>
            <a:lstStyle/>
            <a:p>
              <a:pPr algn="ctr"/>
              <a:r>
                <a:rPr lang="es-MX" sz="1100" b="1">
                  <a:solidFill>
                    <a:schemeClr val="accent5"/>
                  </a:solidFill>
                </a:rPr>
                <a:t>% Utilidad</a:t>
              </a:r>
            </a:p>
          </xdr:txBody>
        </xdr:sp>
        <xdr:cxnSp macro="">
          <xdr:nvCxnSpPr>
            <xdr:cNvPr id="76" name="Conector recto 75">
              <a:extLst>
                <a:ext uri="{FF2B5EF4-FFF2-40B4-BE49-F238E27FC236}">
                  <a16:creationId xmlns:a16="http://schemas.microsoft.com/office/drawing/2014/main" id="{00000000-0008-0000-0400-00004C000000}"/>
                </a:ext>
              </a:extLst>
            </xdr:cNvPr>
            <xdr:cNvCxnSpPr/>
          </xdr:nvCxnSpPr>
          <xdr:spPr>
            <a:xfrm>
              <a:off x="1394313" y="1157654"/>
              <a:ext cx="1072663" cy="0"/>
            </a:xfrm>
            <a:prstGeom prst="line">
              <a:avLst/>
            </a:prstGeom>
            <a:ln w="28575">
              <a:solidFill>
                <a:schemeClr val="accent5"/>
              </a:solidFill>
            </a:ln>
          </xdr:spPr>
          <xdr:style>
            <a:lnRef idx="2">
              <a:schemeClr val="accent1"/>
            </a:lnRef>
            <a:fillRef idx="0">
              <a:schemeClr val="accent1"/>
            </a:fillRef>
            <a:effectRef idx="1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53" name="Grupo 52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400-000035000000}"/>
              </a:ext>
            </a:extLst>
          </xdr:cNvPr>
          <xdr:cNvGrpSpPr/>
        </xdr:nvGrpSpPr>
        <xdr:grpSpPr>
          <a:xfrm>
            <a:off x="2416003" y="875297"/>
            <a:ext cx="1105414" cy="246337"/>
            <a:chOff x="2398879" y="938714"/>
            <a:chExt cx="1087610" cy="230945"/>
          </a:xfrm>
        </xdr:grpSpPr>
        <xdr:grpSp>
          <xdr:nvGrpSpPr>
            <xdr:cNvPr id="71" name="Grupo 70">
              <a:extLst>
                <a:ext uri="{FF2B5EF4-FFF2-40B4-BE49-F238E27FC236}">
                  <a16:creationId xmlns:a16="http://schemas.microsoft.com/office/drawing/2014/main" id="{00000000-0008-0000-0400-000047000000}"/>
                </a:ext>
              </a:extLst>
            </xdr:cNvPr>
            <xdr:cNvGrpSpPr/>
          </xdr:nvGrpSpPr>
          <xdr:grpSpPr>
            <a:xfrm>
              <a:off x="2398879" y="934904"/>
              <a:ext cx="1091420" cy="230945"/>
              <a:chOff x="1394313" y="929933"/>
              <a:chExt cx="1089515" cy="234755"/>
            </a:xfrm>
          </xdr:grpSpPr>
          <xdr:sp macro="" textlink="">
            <xdr:nvSpPr>
              <xdr:cNvPr id="73" name="Rectángulo 72">
                <a:extLst>
                  <a:ext uri="{FF2B5EF4-FFF2-40B4-BE49-F238E27FC236}">
                    <a16:creationId xmlns:a16="http://schemas.microsoft.com/office/drawing/2014/main" id="{00000000-0008-0000-0400-000049000000}"/>
                  </a:ext>
                </a:extLst>
              </xdr:cNvPr>
              <xdr:cNvSpPr/>
            </xdr:nvSpPr>
            <xdr:spPr>
              <a:xfrm>
                <a:off x="1395634" y="929933"/>
                <a:ext cx="1088194" cy="234755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 anchorCtr="0"/>
              <a:lstStyle/>
              <a:p>
                <a:pPr algn="ctr"/>
                <a:r>
                  <a:rPr lang="es-MX" sz="1100" b="1">
                    <a:solidFill>
                      <a:schemeClr val="bg2">
                        <a:lumMod val="75000"/>
                      </a:schemeClr>
                    </a:solidFill>
                  </a:rPr>
                  <a:t>      Mano de Obra</a:t>
                </a:r>
              </a:p>
            </xdr:txBody>
          </xdr:sp>
          <xdr:cxnSp macro="">
            <xdr:nvCxnSpPr>
              <xdr:cNvPr id="74" name="Conector recto 73">
                <a:extLst>
                  <a:ext uri="{FF2B5EF4-FFF2-40B4-BE49-F238E27FC236}">
                    <a16:creationId xmlns:a16="http://schemas.microsoft.com/office/drawing/2014/main" id="{00000000-0008-0000-0400-00004A000000}"/>
                  </a:ext>
                </a:extLst>
              </xdr:cNvPr>
              <xdr:cNvCxnSpPr/>
            </xdr:nvCxnSpPr>
            <xdr:spPr>
              <a:xfrm>
                <a:off x="1394313" y="1157654"/>
                <a:ext cx="1072663" cy="0"/>
              </a:xfrm>
              <a:prstGeom prst="line">
                <a:avLst/>
              </a:prstGeom>
              <a:ln w="12700">
                <a:solidFill>
                  <a:schemeClr val="bg2">
                    <a:lumMod val="75000"/>
                  </a:schemeClr>
                </a:solidFill>
              </a:ln>
            </xdr:spPr>
            <xdr:style>
              <a:lnRef idx="2">
                <a:schemeClr val="accent1"/>
              </a:lnRef>
              <a:fillRef idx="0">
                <a:schemeClr val="accent1"/>
              </a:fillRef>
              <a:effectRef idx="1">
                <a:schemeClr val="accent1"/>
              </a:effectRef>
              <a:fontRef idx="minor">
                <a:schemeClr val="tx1"/>
              </a:fontRef>
            </xdr:style>
          </xdr:cxnSp>
        </xdr:grpSp>
        <xdr:pic>
          <xdr:nvPicPr>
            <xdr:cNvPr id="72" name="Imagen 71">
              <a:extLst>
                <a:ext uri="{FF2B5EF4-FFF2-40B4-BE49-F238E27FC236}">
                  <a16:creationId xmlns:a16="http://schemas.microsoft.com/office/drawing/2014/main" id="{00000000-0008-0000-0400-000048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clrChange>
                <a:clrFrom>
                  <a:srgbClr val="FFFFFF"/>
                </a:clrFrom>
                <a:clrTo>
                  <a:srgbClr val="FFFFFF">
                    <a:alpha val="0"/>
                  </a:srgbClr>
                </a:clrTo>
              </a:clrChange>
              <a:duotone>
                <a:schemeClr val="bg2">
                  <a:shade val="45000"/>
                  <a:satMod val="135000"/>
                </a:schemeClr>
                <a:prstClr val="white"/>
              </a:duotone>
            </a:blip>
            <a:stretch>
              <a:fillRect/>
            </a:stretch>
          </xdr:blipFill>
          <xdr:spPr>
            <a:xfrm flipH="1">
              <a:off x="2423351" y="973789"/>
              <a:ext cx="190793" cy="157769"/>
            </a:xfrm>
            <a:prstGeom prst="rect">
              <a:avLst/>
            </a:prstGeom>
          </xdr:spPr>
        </xdr:pic>
      </xdr:grpSp>
      <xdr:grpSp>
        <xdr:nvGrpSpPr>
          <xdr:cNvPr id="54" name="Grupo 53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400-000036000000}"/>
              </a:ext>
            </a:extLst>
          </xdr:cNvPr>
          <xdr:cNvGrpSpPr/>
        </xdr:nvGrpSpPr>
        <xdr:grpSpPr>
          <a:xfrm>
            <a:off x="3552495" y="871940"/>
            <a:ext cx="1281355" cy="240683"/>
            <a:chOff x="3508028" y="937541"/>
            <a:chExt cx="1274885" cy="229040"/>
          </a:xfrm>
        </xdr:grpSpPr>
        <xdr:grpSp>
          <xdr:nvGrpSpPr>
            <xdr:cNvPr id="67" name="Grupo 66">
              <a:extLst>
                <a:ext uri="{FF2B5EF4-FFF2-40B4-BE49-F238E27FC236}">
                  <a16:creationId xmlns:a16="http://schemas.microsoft.com/office/drawing/2014/main" id="{00000000-0008-0000-0400-000043000000}"/>
                </a:ext>
              </a:extLst>
            </xdr:cNvPr>
            <xdr:cNvGrpSpPr/>
          </xdr:nvGrpSpPr>
          <xdr:grpSpPr>
            <a:xfrm>
              <a:off x="3508028" y="937541"/>
              <a:ext cx="1274885" cy="229040"/>
              <a:chOff x="1394313" y="929933"/>
              <a:chExt cx="1089515" cy="234755"/>
            </a:xfrm>
          </xdr:grpSpPr>
          <xdr:sp macro="" textlink="">
            <xdr:nvSpPr>
              <xdr:cNvPr id="69" name="Rectángulo 68">
                <a:extLst>
                  <a:ext uri="{FF2B5EF4-FFF2-40B4-BE49-F238E27FC236}">
                    <a16:creationId xmlns:a16="http://schemas.microsoft.com/office/drawing/2014/main" id="{00000000-0008-0000-0400-000045000000}"/>
                  </a:ext>
                </a:extLst>
              </xdr:cNvPr>
              <xdr:cNvSpPr/>
            </xdr:nvSpPr>
            <xdr:spPr>
              <a:xfrm>
                <a:off x="1395634" y="929933"/>
                <a:ext cx="1088194" cy="234755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 anchorCtr="0"/>
              <a:lstStyle/>
              <a:p>
                <a:pPr algn="ctr"/>
                <a:r>
                  <a:rPr lang="es-MX" sz="1100" b="1">
                    <a:solidFill>
                      <a:schemeClr val="bg2">
                        <a:lumMod val="75000"/>
                      </a:schemeClr>
                    </a:solidFill>
                  </a:rPr>
                  <a:t>      Costos</a:t>
                </a:r>
                <a:r>
                  <a:rPr lang="es-MX" sz="1100" b="1" baseline="0">
                    <a:solidFill>
                      <a:schemeClr val="bg2">
                        <a:lumMod val="75000"/>
                      </a:schemeClr>
                    </a:solidFill>
                  </a:rPr>
                  <a:t> Indirectos</a:t>
                </a:r>
                <a:endParaRPr lang="es-MX" sz="1100" b="1">
                  <a:solidFill>
                    <a:schemeClr val="bg2">
                      <a:lumMod val="75000"/>
                    </a:schemeClr>
                  </a:solidFill>
                </a:endParaRPr>
              </a:p>
            </xdr:txBody>
          </xdr:sp>
          <xdr:cxnSp macro="">
            <xdr:nvCxnSpPr>
              <xdr:cNvPr id="70" name="Conector recto 69">
                <a:extLst>
                  <a:ext uri="{FF2B5EF4-FFF2-40B4-BE49-F238E27FC236}">
                    <a16:creationId xmlns:a16="http://schemas.microsoft.com/office/drawing/2014/main" id="{00000000-0008-0000-0400-000046000000}"/>
                  </a:ext>
                </a:extLst>
              </xdr:cNvPr>
              <xdr:cNvCxnSpPr/>
            </xdr:nvCxnSpPr>
            <xdr:spPr>
              <a:xfrm>
                <a:off x="1394313" y="1157654"/>
                <a:ext cx="1072663" cy="0"/>
              </a:xfrm>
              <a:prstGeom prst="line">
                <a:avLst/>
              </a:prstGeom>
              <a:ln w="12700">
                <a:solidFill>
                  <a:schemeClr val="bg2">
                    <a:lumMod val="75000"/>
                  </a:schemeClr>
                </a:solidFill>
              </a:ln>
            </xdr:spPr>
            <xdr:style>
              <a:lnRef idx="2">
                <a:schemeClr val="accent1"/>
              </a:lnRef>
              <a:fillRef idx="0">
                <a:schemeClr val="accent1"/>
              </a:fillRef>
              <a:effectRef idx="1">
                <a:schemeClr val="accent1"/>
              </a:effectRef>
              <a:fontRef idx="minor">
                <a:schemeClr val="tx1"/>
              </a:fontRef>
            </xdr:style>
          </xdr:cxnSp>
        </xdr:grpSp>
        <xdr:pic>
          <xdr:nvPicPr>
            <xdr:cNvPr id="68" name="Gráfico 67" descr="Monedas con relleno sólido">
              <a:extLst>
                <a:ext uri="{FF2B5EF4-FFF2-40B4-BE49-F238E27FC236}">
                  <a16:creationId xmlns:a16="http://schemas.microsoft.com/office/drawing/2014/main" id="{00000000-0008-0000-0400-00004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 flipH="1">
              <a:off x="3529589" y="941774"/>
              <a:ext cx="185259" cy="203816"/>
            </a:xfrm>
            <a:prstGeom prst="rect">
              <a:avLst/>
            </a:prstGeom>
          </xdr:spPr>
        </xdr:pic>
      </xdr:grpSp>
      <xdr:grpSp>
        <xdr:nvGrpSpPr>
          <xdr:cNvPr id="55" name="Grupo 5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400-000037000000}"/>
              </a:ext>
            </a:extLst>
          </xdr:cNvPr>
          <xdr:cNvGrpSpPr/>
        </xdr:nvGrpSpPr>
        <xdr:grpSpPr>
          <a:xfrm>
            <a:off x="5641325" y="879750"/>
            <a:ext cx="910267" cy="233355"/>
            <a:chOff x="5582531" y="937541"/>
            <a:chExt cx="894469" cy="232850"/>
          </a:xfrm>
        </xdr:grpSpPr>
        <xdr:grpSp>
          <xdr:nvGrpSpPr>
            <xdr:cNvPr id="63" name="Grupo 62">
              <a:extLst>
                <a:ext uri="{FF2B5EF4-FFF2-40B4-BE49-F238E27FC236}">
                  <a16:creationId xmlns:a16="http://schemas.microsoft.com/office/drawing/2014/main" id="{00000000-0008-0000-0400-00003F000000}"/>
                </a:ext>
              </a:extLst>
            </xdr:cNvPr>
            <xdr:cNvGrpSpPr/>
          </xdr:nvGrpSpPr>
          <xdr:grpSpPr>
            <a:xfrm>
              <a:off x="5582531" y="937541"/>
              <a:ext cx="894469" cy="232850"/>
              <a:chOff x="1394313" y="929933"/>
              <a:chExt cx="1089515" cy="234755"/>
            </a:xfrm>
          </xdr:grpSpPr>
          <xdr:sp macro="" textlink="">
            <xdr:nvSpPr>
              <xdr:cNvPr id="65" name="Rectángulo 64">
                <a:extLst>
                  <a:ext uri="{FF2B5EF4-FFF2-40B4-BE49-F238E27FC236}">
                    <a16:creationId xmlns:a16="http://schemas.microsoft.com/office/drawing/2014/main" id="{00000000-0008-0000-0400-000041000000}"/>
                  </a:ext>
                </a:extLst>
              </xdr:cNvPr>
              <xdr:cNvSpPr/>
            </xdr:nvSpPr>
            <xdr:spPr>
              <a:xfrm>
                <a:off x="1395634" y="929933"/>
                <a:ext cx="1088194" cy="234755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 anchorCtr="0"/>
              <a:lstStyle/>
              <a:p>
                <a:pPr algn="ctr"/>
                <a:r>
                  <a:rPr lang="es-MX" sz="1100" b="1">
                    <a:solidFill>
                      <a:schemeClr val="bg2">
                        <a:lumMod val="75000"/>
                      </a:schemeClr>
                    </a:solidFill>
                  </a:rPr>
                  <a:t>     Resumen</a:t>
                </a:r>
              </a:p>
            </xdr:txBody>
          </xdr:sp>
          <xdr:cxnSp macro="">
            <xdr:nvCxnSpPr>
              <xdr:cNvPr id="66" name="Conector recto 65">
                <a:extLst>
                  <a:ext uri="{FF2B5EF4-FFF2-40B4-BE49-F238E27FC236}">
                    <a16:creationId xmlns:a16="http://schemas.microsoft.com/office/drawing/2014/main" id="{00000000-0008-0000-0400-000042000000}"/>
                  </a:ext>
                </a:extLst>
              </xdr:cNvPr>
              <xdr:cNvCxnSpPr/>
            </xdr:nvCxnSpPr>
            <xdr:spPr>
              <a:xfrm>
                <a:off x="1394313" y="1157654"/>
                <a:ext cx="1072663" cy="0"/>
              </a:xfrm>
              <a:prstGeom prst="line">
                <a:avLst/>
              </a:prstGeom>
              <a:ln w="12700">
                <a:solidFill>
                  <a:schemeClr val="bg2">
                    <a:lumMod val="75000"/>
                  </a:schemeClr>
                </a:solidFill>
              </a:ln>
            </xdr:spPr>
            <xdr:style>
              <a:lnRef idx="2">
                <a:schemeClr val="accent1"/>
              </a:lnRef>
              <a:fillRef idx="0">
                <a:schemeClr val="accent1"/>
              </a:fillRef>
              <a:effectRef idx="1">
                <a:schemeClr val="accent1"/>
              </a:effectRef>
              <a:fontRef idx="minor">
                <a:schemeClr val="tx1"/>
              </a:fontRef>
            </xdr:style>
          </xdr:cxnSp>
        </xdr:grpSp>
        <xdr:pic>
          <xdr:nvPicPr>
            <xdr:cNvPr id="64" name="Gráfico 63" descr="Lista con relleno sólido">
              <a:extLst>
                <a:ext uri="{FF2B5EF4-FFF2-40B4-BE49-F238E27FC236}">
                  <a16:creationId xmlns:a16="http://schemas.microsoft.com/office/drawing/2014/main" id="{00000000-0008-0000-0400-000040000000}"/>
                </a:ext>
              </a:extLst>
            </xdr:cNvPr>
            <xdr:cNvPicPr preferRelativeResize="0">
              <a:picLocks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1"/>
                </a:ext>
              </a:extLst>
            </a:blip>
            <a:stretch>
              <a:fillRect/>
            </a:stretch>
          </xdr:blipFill>
          <xdr:spPr>
            <a:xfrm>
              <a:off x="5658511" y="956163"/>
              <a:ext cx="179125" cy="189597"/>
            </a:xfrm>
            <a:prstGeom prst="rect">
              <a:avLst/>
            </a:prstGeom>
          </xdr:spPr>
        </xdr:pic>
      </xdr:grpSp>
      <xdr:grpSp>
        <xdr:nvGrpSpPr>
          <xdr:cNvPr id="56" name="Grupo 55">
            <a:extLst>
              <a:ext uri="{FF2B5EF4-FFF2-40B4-BE49-F238E27FC236}">
                <a16:creationId xmlns:a16="http://schemas.microsoft.com/office/drawing/2014/main" id="{00000000-0008-0000-0400-000038000000}"/>
              </a:ext>
            </a:extLst>
          </xdr:cNvPr>
          <xdr:cNvGrpSpPr/>
        </xdr:nvGrpSpPr>
        <xdr:grpSpPr>
          <a:xfrm>
            <a:off x="1287569" y="879470"/>
            <a:ext cx="1095896" cy="225566"/>
            <a:chOff x="1290169" y="941058"/>
            <a:chExt cx="1095230" cy="225230"/>
          </a:xfrm>
        </xdr:grpSpPr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00000000-0008-0000-0400-00003B000000}"/>
                </a:ext>
              </a:extLst>
            </xdr:cNvPr>
            <xdr:cNvGrpSpPr/>
          </xdr:nvGrpSpPr>
          <xdr:grpSpPr>
            <a:xfrm>
              <a:off x="1288264" y="937248"/>
              <a:ext cx="1093325" cy="232850"/>
              <a:chOff x="1394313" y="928000"/>
              <a:chExt cx="1089515" cy="232882"/>
            </a:xfrm>
          </xdr:grpSpPr>
          <xdr:sp macro="" textlink="">
            <xdr:nvSpPr>
              <xdr:cNvPr id="61" name="Rectángulo 60">
                <a:hlinkClick xmlns:r="http://schemas.openxmlformats.org/officeDocument/2006/relationships" r:id="rId12"/>
                <a:extLst>
                  <a:ext uri="{FF2B5EF4-FFF2-40B4-BE49-F238E27FC236}">
                    <a16:creationId xmlns:a16="http://schemas.microsoft.com/office/drawing/2014/main" id="{00000000-0008-0000-0400-00003D000000}"/>
                  </a:ext>
                </a:extLst>
              </xdr:cNvPr>
              <xdr:cNvSpPr/>
            </xdr:nvSpPr>
            <xdr:spPr>
              <a:xfrm>
                <a:off x="1399439" y="928000"/>
                <a:ext cx="1084389" cy="232882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 anchorCtr="0"/>
              <a:lstStyle/>
              <a:p>
                <a:pPr algn="ctr"/>
                <a:r>
                  <a:rPr lang="es-MX" sz="1100" b="1">
                    <a:solidFill>
                      <a:schemeClr val="bg2">
                        <a:lumMod val="75000"/>
                      </a:schemeClr>
                    </a:solidFill>
                  </a:rPr>
                  <a:t>     Materiales</a:t>
                </a:r>
              </a:p>
            </xdr:txBody>
          </xdr:sp>
          <xdr:cxnSp macro="">
            <xdr:nvCxnSpPr>
              <xdr:cNvPr id="62" name="Conector recto 61">
                <a:extLst>
                  <a:ext uri="{FF2B5EF4-FFF2-40B4-BE49-F238E27FC236}">
                    <a16:creationId xmlns:a16="http://schemas.microsoft.com/office/drawing/2014/main" id="{00000000-0008-0000-0400-00003E000000}"/>
                  </a:ext>
                </a:extLst>
              </xdr:cNvPr>
              <xdr:cNvCxnSpPr/>
            </xdr:nvCxnSpPr>
            <xdr:spPr>
              <a:xfrm>
                <a:off x="1394313" y="1157654"/>
                <a:ext cx="1072663" cy="0"/>
              </a:xfrm>
              <a:prstGeom prst="line">
                <a:avLst/>
              </a:prstGeom>
              <a:ln w="12700">
                <a:solidFill>
                  <a:schemeClr val="bg2">
                    <a:lumMod val="75000"/>
                  </a:schemeClr>
                </a:solidFill>
              </a:ln>
            </xdr:spPr>
            <xdr:style>
              <a:lnRef idx="2">
                <a:schemeClr val="accent1"/>
              </a:lnRef>
              <a:fillRef idx="0">
                <a:schemeClr val="accent1"/>
              </a:fillRef>
              <a:effectRef idx="1">
                <a:schemeClr val="accent1"/>
              </a:effectRef>
              <a:fontRef idx="minor">
                <a:schemeClr val="tx1"/>
              </a:fontRef>
            </xdr:style>
          </xdr:cxnSp>
        </xdr:grpSp>
        <xdr:pic>
          <xdr:nvPicPr>
            <xdr:cNvPr id="60" name="Gráfico 59" descr="Carro de la compra con relleno sólido">
              <a:extLst>
                <a:ext uri="{FF2B5EF4-FFF2-40B4-BE49-F238E27FC236}">
                  <a16:creationId xmlns:a16="http://schemas.microsoft.com/office/drawing/2014/main" id="{00000000-0008-0000-0400-00003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4"/>
                </a:ext>
              </a:extLst>
            </a:blip>
            <a:stretch>
              <a:fillRect/>
            </a:stretch>
          </xdr:blipFill>
          <xdr:spPr>
            <a:xfrm>
              <a:off x="1391225" y="961041"/>
              <a:ext cx="195388" cy="189205"/>
            </a:xfrm>
            <a:prstGeom prst="rect">
              <a:avLst/>
            </a:prstGeom>
          </xdr:spPr>
        </xdr:pic>
      </xdr:grpSp>
      <xdr:pic>
        <xdr:nvPicPr>
          <xdr:cNvPr id="57" name="Imagen 56">
            <a:extLst>
              <a:ext uri="{FF2B5EF4-FFF2-40B4-BE49-F238E27FC236}">
                <a16:creationId xmlns:a16="http://schemas.microsoft.com/office/drawing/2014/main" id="{00000000-0008-0000-0400-000039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 bwMode="auto">
          <a:xfrm>
            <a:off x="162221" y="215703"/>
            <a:ext cx="453506" cy="44928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8" name="Rectángulo 57">
            <a:extLst>
              <a:ext uri="{FF2B5EF4-FFF2-40B4-BE49-F238E27FC236}">
                <a16:creationId xmlns:a16="http://schemas.microsoft.com/office/drawing/2014/main" id="{00000000-0008-0000-0400-00003A000000}"/>
              </a:ext>
            </a:extLst>
          </xdr:cNvPr>
          <xdr:cNvSpPr/>
        </xdr:nvSpPr>
        <xdr:spPr>
          <a:xfrm>
            <a:off x="572643" y="212186"/>
            <a:ext cx="4077288" cy="45793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l"/>
            <a:r>
              <a:rPr lang="es-MX" sz="1600" b="1" i="0" u="none">
                <a:solidFill>
                  <a:sysClr val="windowText" lastClr="000000"/>
                </a:solidFill>
              </a:rPr>
              <a:t>Plantilla</a:t>
            </a:r>
            <a:r>
              <a:rPr lang="es-MX" sz="1600" b="1" i="0" u="none" baseline="0">
                <a:solidFill>
                  <a:sysClr val="windowText" lastClr="000000"/>
                </a:solidFill>
              </a:rPr>
              <a:t> Inteligente de Muebles</a:t>
            </a:r>
            <a:endParaRPr lang="es-MX" sz="1600" b="1" i="0" u="none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9</xdr:col>
      <xdr:colOff>91440</xdr:colOff>
      <xdr:row>5</xdr:row>
      <xdr:rowOff>64770</xdr:rowOff>
    </xdr:from>
    <xdr:to>
      <xdr:col>11</xdr:col>
      <xdr:colOff>19050</xdr:colOff>
      <xdr:row>7</xdr:row>
      <xdr:rowOff>0</xdr:rowOff>
    </xdr:to>
    <xdr:sp macro="[0]!Borrar_Campos" textlink="">
      <xdr:nvSpPr>
        <xdr:cNvPr id="80" name="Rectángulo: esquinas redondeadas 79">
          <a:extLs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SpPr/>
      </xdr:nvSpPr>
      <xdr:spPr>
        <a:xfrm>
          <a:off x="5958840" y="1417320"/>
          <a:ext cx="1114425" cy="219075"/>
        </a:xfrm>
        <a:prstGeom prst="roundRect">
          <a:avLst/>
        </a:prstGeom>
        <a:solidFill>
          <a:srgbClr val="0070C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s-MX" sz="1100"/>
            <a:t>Limpiar cotización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58394</xdr:colOff>
      <xdr:row>5</xdr:row>
      <xdr:rowOff>56379</xdr:rowOff>
    </xdr:from>
    <xdr:to>
      <xdr:col>4</xdr:col>
      <xdr:colOff>1773436</xdr:colOff>
      <xdr:row>6</xdr:row>
      <xdr:rowOff>94981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534644" y="1401016"/>
          <a:ext cx="1715042" cy="2147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es-MX" sz="1400" b="1">
              <a:solidFill>
                <a:sysClr val="windowText" lastClr="000000"/>
              </a:solidFill>
            </a:rPr>
            <a:t>Resumen de Cotización</a:t>
          </a:r>
        </a:p>
      </xdr:txBody>
    </xdr:sp>
    <xdr:clientData/>
  </xdr:twoCellAnchor>
  <xdr:twoCellAnchor editAs="oneCell">
    <xdr:from>
      <xdr:col>1</xdr:col>
      <xdr:colOff>1905</xdr:colOff>
      <xdr:row>68</xdr:row>
      <xdr:rowOff>112395</xdr:rowOff>
    </xdr:from>
    <xdr:to>
      <xdr:col>4</xdr:col>
      <xdr:colOff>626745</xdr:colOff>
      <xdr:row>70</xdr:row>
      <xdr:rowOff>57704</xdr:rowOff>
    </xdr:to>
    <xdr:sp macro="" textlink="">
      <xdr:nvSpPr>
        <xdr:cNvPr id="8" name="Rectángulo: esquinas redondeadas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63830" y="3922395"/>
          <a:ext cx="960120" cy="288210"/>
        </a:xfrm>
        <a:prstGeom prst="round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s-MX" sz="1100">
              <a:sym typeface="Wingdings" panose="05000000000000000000" pitchFamily="2" charset="2"/>
            </a:rPr>
            <a:t></a:t>
          </a:r>
          <a:r>
            <a:rPr lang="es-MX" sz="1100" baseline="0">
              <a:sym typeface="Wingdings" panose="05000000000000000000" pitchFamily="2" charset="2"/>
            </a:rPr>
            <a:t> Anterior</a:t>
          </a:r>
          <a:endParaRPr lang="es-MX" sz="1100"/>
        </a:p>
      </xdr:txBody>
    </xdr:sp>
    <xdr:clientData/>
  </xdr:twoCellAnchor>
  <xdr:twoCellAnchor>
    <xdr:from>
      <xdr:col>2</xdr:col>
      <xdr:colOff>15240</xdr:colOff>
      <xdr:row>5</xdr:row>
      <xdr:rowOff>62173</xdr:rowOff>
    </xdr:from>
    <xdr:to>
      <xdr:col>4</xdr:col>
      <xdr:colOff>293</xdr:colOff>
      <xdr:row>6</xdr:row>
      <xdr:rowOff>101110</xdr:rowOff>
    </xdr:to>
    <xdr:pic>
      <xdr:nvPicPr>
        <xdr:cNvPr id="39" name="Gráfico 38" descr="Lista con relleno sólido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79009" y="1403000"/>
          <a:ext cx="197534" cy="207456"/>
        </a:xfrm>
        <a:prstGeom prst="rect">
          <a:avLst/>
        </a:prstGeom>
      </xdr:spPr>
    </xdr:pic>
    <xdr:clientData/>
  </xdr:twoCellAnchor>
  <xdr:twoCellAnchor>
    <xdr:from>
      <xdr:col>2</xdr:col>
      <xdr:colOff>17145</xdr:colOff>
      <xdr:row>6</xdr:row>
      <xdr:rowOff>114766</xdr:rowOff>
    </xdr:from>
    <xdr:to>
      <xdr:col>10</xdr:col>
      <xdr:colOff>0</xdr:colOff>
      <xdr:row>6</xdr:row>
      <xdr:rowOff>114766</xdr:rowOff>
    </xdr:to>
    <xdr:cxnSp macro="">
      <xdr:nvCxnSpPr>
        <xdr:cNvPr id="38" name="Conector rect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CxnSpPr/>
      </xdr:nvCxnSpPr>
      <xdr:spPr>
        <a:xfrm>
          <a:off x="274880" y="1627560"/>
          <a:ext cx="6762414" cy="0"/>
        </a:xfrm>
        <a:prstGeom prst="line">
          <a:avLst/>
        </a:prstGeom>
        <a:ln w="3175">
          <a:solidFill>
            <a:sysClr val="windowText" lastClr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0</xdr:colOff>
      <xdr:row>1</xdr:row>
      <xdr:rowOff>55261</xdr:rowOff>
    </xdr:from>
    <xdr:to>
      <xdr:col>8</xdr:col>
      <xdr:colOff>972873</xdr:colOff>
      <xdr:row>3</xdr:row>
      <xdr:rowOff>211058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GrpSpPr/>
      </xdr:nvGrpSpPr>
      <xdr:grpSpPr>
        <a:xfrm>
          <a:off x="152400" y="219091"/>
          <a:ext cx="6173523" cy="910177"/>
          <a:chOff x="161925" y="212186"/>
          <a:chExt cx="6389667" cy="909448"/>
        </a:xfrm>
      </xdr:grpSpPr>
      <xdr:grpSp>
        <xdr:nvGrpSpPr>
          <xdr:cNvPr id="42" name="Grupo 41">
            <a:extLst>
              <a:ext uri="{FF2B5EF4-FFF2-40B4-BE49-F238E27FC236}">
                <a16:creationId xmlns:a16="http://schemas.microsoft.com/office/drawing/2014/main" id="{00000000-0008-0000-0500-00002A000000}"/>
              </a:ext>
            </a:extLst>
          </xdr:cNvPr>
          <xdr:cNvGrpSpPr/>
        </xdr:nvGrpSpPr>
        <xdr:grpSpPr>
          <a:xfrm>
            <a:off x="161925" y="879470"/>
            <a:ext cx="1096039" cy="233063"/>
            <a:chOff x="299084" y="926416"/>
            <a:chExt cx="1089515" cy="232850"/>
          </a:xfrm>
        </xdr:grpSpPr>
        <xdr:sp macro="" textlink="">
          <xdr:nvSpPr>
            <xdr:cNvPr id="71" name="Rectángulo 70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500-000047000000}"/>
                </a:ext>
              </a:extLst>
            </xdr:cNvPr>
            <xdr:cNvSpPr/>
          </xdr:nvSpPr>
          <xdr:spPr>
            <a:xfrm>
              <a:off x="300405" y="926416"/>
              <a:ext cx="1088194" cy="2328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 anchorCtr="0"/>
            <a:lstStyle/>
            <a:p>
              <a:pPr algn="l"/>
              <a:r>
                <a:rPr lang="es-MX" sz="1100" b="1">
                  <a:solidFill>
                    <a:schemeClr val="bg2">
                      <a:lumMod val="75000"/>
                    </a:schemeClr>
                  </a:solidFill>
                </a:rPr>
                <a:t>        Información </a:t>
              </a:r>
            </a:p>
          </xdr:txBody>
        </xdr:sp>
        <xdr:pic>
          <xdr:nvPicPr>
            <xdr:cNvPr id="72" name="Imagen 71" descr="Icono Informacion Vectores, Iconos, Gráficos y Fondos para Descargar Gratis">
              <a:extLst>
                <a:ext uri="{FF2B5EF4-FFF2-40B4-BE49-F238E27FC236}">
                  <a16:creationId xmlns:a16="http://schemas.microsoft.com/office/drawing/2014/main" id="{00000000-0008-0000-0500-000048000000}"/>
                </a:ext>
              </a:extLst>
            </xdr:cNvPr>
            <xdr:cNvPicPr preferRelativeResize="0">
              <a:picLocks noChangeArrowheads="1"/>
            </xdr:cNvPicPr>
          </xdr:nvPicPr>
          <xdr:blipFill rotWithShape="1">
            <a:blip xmlns:r="http://schemas.openxmlformats.org/officeDocument/2006/relationships" r:embed="rId5" cstate="print">
              <a:clrChange>
                <a:clrFrom>
                  <a:srgbClr val="FFFFFF"/>
                </a:clrFrom>
                <a:clrTo>
                  <a:srgbClr val="FFFFFF">
                    <a:alpha val="0"/>
                  </a:srgbClr>
                </a:clrTo>
              </a:clrChange>
              <a:duotone>
                <a:schemeClr val="bg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52421" t="18065" r="6002" b="19314"/>
            <a:stretch/>
          </xdr:blipFill>
          <xdr:spPr bwMode="auto">
            <a:xfrm>
              <a:off x="387627" y="972870"/>
              <a:ext cx="143022" cy="146538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cxnSp macro="">
          <xdr:nvCxnSpPr>
            <xdr:cNvPr id="73" name="Conector recto 72">
              <a:extLst>
                <a:ext uri="{FF2B5EF4-FFF2-40B4-BE49-F238E27FC236}">
                  <a16:creationId xmlns:a16="http://schemas.microsoft.com/office/drawing/2014/main" id="{00000000-0008-0000-0500-000049000000}"/>
                </a:ext>
              </a:extLst>
            </xdr:cNvPr>
            <xdr:cNvCxnSpPr/>
          </xdr:nvCxnSpPr>
          <xdr:spPr>
            <a:xfrm>
              <a:off x="299084" y="1154137"/>
              <a:ext cx="1078378" cy="0"/>
            </a:xfrm>
            <a:prstGeom prst="line">
              <a:avLst/>
            </a:prstGeom>
            <a:ln w="9525">
              <a:solidFill>
                <a:schemeClr val="bg2">
                  <a:lumMod val="75000"/>
                </a:schemeClr>
              </a:solidFill>
            </a:ln>
          </xdr:spPr>
          <xdr:style>
            <a:lnRef idx="2">
              <a:schemeClr val="accent1"/>
            </a:lnRef>
            <a:fillRef idx="0">
              <a:schemeClr val="accent1"/>
            </a:fillRef>
            <a:effectRef idx="1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43" name="Grupo 4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500-00002B000000}"/>
              </a:ext>
            </a:extLst>
          </xdr:cNvPr>
          <xdr:cNvGrpSpPr/>
        </xdr:nvGrpSpPr>
        <xdr:grpSpPr>
          <a:xfrm>
            <a:off x="4858493" y="876209"/>
            <a:ext cx="762329" cy="240683"/>
            <a:chOff x="1394313" y="929933"/>
            <a:chExt cx="1089515" cy="234755"/>
          </a:xfrm>
        </xdr:grpSpPr>
        <xdr:sp macro="" textlink="">
          <xdr:nvSpPr>
            <xdr:cNvPr id="69" name="Rectángulo 68">
              <a:extLst>
                <a:ext uri="{FF2B5EF4-FFF2-40B4-BE49-F238E27FC236}">
                  <a16:creationId xmlns:a16="http://schemas.microsoft.com/office/drawing/2014/main" id="{00000000-0008-0000-0500-000045000000}"/>
                </a:ext>
              </a:extLst>
            </xdr:cNvPr>
            <xdr:cNvSpPr/>
          </xdr:nvSpPr>
          <xdr:spPr>
            <a:xfrm>
              <a:off x="1395634" y="929933"/>
              <a:ext cx="1088194" cy="234755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 anchorCtr="0"/>
            <a:lstStyle/>
            <a:p>
              <a:pPr algn="ctr"/>
              <a:r>
                <a:rPr lang="es-MX" sz="1100" b="1">
                  <a:solidFill>
                    <a:schemeClr val="bg2">
                      <a:lumMod val="75000"/>
                    </a:schemeClr>
                  </a:solidFill>
                </a:rPr>
                <a:t>% Utilidad</a:t>
              </a:r>
            </a:p>
          </xdr:txBody>
        </xdr:sp>
        <xdr:cxnSp macro="">
          <xdr:nvCxnSpPr>
            <xdr:cNvPr id="70" name="Conector recto 69">
              <a:extLst>
                <a:ext uri="{FF2B5EF4-FFF2-40B4-BE49-F238E27FC236}">
                  <a16:creationId xmlns:a16="http://schemas.microsoft.com/office/drawing/2014/main" id="{00000000-0008-0000-0500-000046000000}"/>
                </a:ext>
              </a:extLst>
            </xdr:cNvPr>
            <xdr:cNvCxnSpPr/>
          </xdr:nvCxnSpPr>
          <xdr:spPr>
            <a:xfrm>
              <a:off x="1394313" y="1157654"/>
              <a:ext cx="1072663" cy="0"/>
            </a:xfrm>
            <a:prstGeom prst="line">
              <a:avLst/>
            </a:prstGeom>
            <a:ln w="12700">
              <a:solidFill>
                <a:schemeClr val="bg2">
                  <a:lumMod val="75000"/>
                </a:schemeClr>
              </a:solidFill>
            </a:ln>
          </xdr:spPr>
          <xdr:style>
            <a:lnRef idx="2">
              <a:schemeClr val="accent1"/>
            </a:lnRef>
            <a:fillRef idx="0">
              <a:schemeClr val="accent1"/>
            </a:fillRef>
            <a:effectRef idx="1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44" name="Grupo 43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500-00002C000000}"/>
              </a:ext>
            </a:extLst>
          </xdr:cNvPr>
          <xdr:cNvGrpSpPr/>
        </xdr:nvGrpSpPr>
        <xdr:grpSpPr>
          <a:xfrm>
            <a:off x="2416003" y="875297"/>
            <a:ext cx="1105414" cy="246337"/>
            <a:chOff x="2398879" y="938714"/>
            <a:chExt cx="1087610" cy="230945"/>
          </a:xfrm>
        </xdr:grpSpPr>
        <xdr:grpSp>
          <xdr:nvGrpSpPr>
            <xdr:cNvPr id="65" name="Grupo 64">
              <a:extLst>
                <a:ext uri="{FF2B5EF4-FFF2-40B4-BE49-F238E27FC236}">
                  <a16:creationId xmlns:a16="http://schemas.microsoft.com/office/drawing/2014/main" id="{00000000-0008-0000-0500-000041000000}"/>
                </a:ext>
              </a:extLst>
            </xdr:cNvPr>
            <xdr:cNvGrpSpPr/>
          </xdr:nvGrpSpPr>
          <xdr:grpSpPr>
            <a:xfrm>
              <a:off x="2398879" y="934904"/>
              <a:ext cx="1091420" cy="230945"/>
              <a:chOff x="1394313" y="929933"/>
              <a:chExt cx="1089515" cy="234755"/>
            </a:xfrm>
          </xdr:grpSpPr>
          <xdr:sp macro="" textlink="">
            <xdr:nvSpPr>
              <xdr:cNvPr id="67" name="Rectángulo 66">
                <a:extLst>
                  <a:ext uri="{FF2B5EF4-FFF2-40B4-BE49-F238E27FC236}">
                    <a16:creationId xmlns:a16="http://schemas.microsoft.com/office/drawing/2014/main" id="{00000000-0008-0000-0500-000043000000}"/>
                  </a:ext>
                </a:extLst>
              </xdr:cNvPr>
              <xdr:cNvSpPr/>
            </xdr:nvSpPr>
            <xdr:spPr>
              <a:xfrm>
                <a:off x="1395634" y="929933"/>
                <a:ext cx="1088194" cy="234755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 anchorCtr="0"/>
              <a:lstStyle/>
              <a:p>
                <a:pPr algn="ctr"/>
                <a:r>
                  <a:rPr lang="es-MX" sz="1100" b="1">
                    <a:solidFill>
                      <a:schemeClr val="bg2">
                        <a:lumMod val="75000"/>
                      </a:schemeClr>
                    </a:solidFill>
                  </a:rPr>
                  <a:t>      Mano de Obra</a:t>
                </a:r>
              </a:p>
            </xdr:txBody>
          </xdr:sp>
          <xdr:cxnSp macro="">
            <xdr:nvCxnSpPr>
              <xdr:cNvPr id="68" name="Conector recto 67">
                <a:extLst>
                  <a:ext uri="{FF2B5EF4-FFF2-40B4-BE49-F238E27FC236}">
                    <a16:creationId xmlns:a16="http://schemas.microsoft.com/office/drawing/2014/main" id="{00000000-0008-0000-0500-000044000000}"/>
                  </a:ext>
                </a:extLst>
              </xdr:cNvPr>
              <xdr:cNvCxnSpPr/>
            </xdr:nvCxnSpPr>
            <xdr:spPr>
              <a:xfrm>
                <a:off x="1394313" y="1157654"/>
                <a:ext cx="1072663" cy="0"/>
              </a:xfrm>
              <a:prstGeom prst="line">
                <a:avLst/>
              </a:prstGeom>
              <a:ln w="12700">
                <a:solidFill>
                  <a:schemeClr val="bg2">
                    <a:lumMod val="75000"/>
                  </a:schemeClr>
                </a:solidFill>
              </a:ln>
            </xdr:spPr>
            <xdr:style>
              <a:lnRef idx="2">
                <a:schemeClr val="accent1"/>
              </a:lnRef>
              <a:fillRef idx="0">
                <a:schemeClr val="accent1"/>
              </a:fillRef>
              <a:effectRef idx="1">
                <a:schemeClr val="accent1"/>
              </a:effectRef>
              <a:fontRef idx="minor">
                <a:schemeClr val="tx1"/>
              </a:fontRef>
            </xdr:style>
          </xdr:cxnSp>
        </xdr:grpSp>
        <xdr:pic>
          <xdr:nvPicPr>
            <xdr:cNvPr id="66" name="Imagen 65">
              <a:extLst>
                <a:ext uri="{FF2B5EF4-FFF2-40B4-BE49-F238E27FC236}">
                  <a16:creationId xmlns:a16="http://schemas.microsoft.com/office/drawing/2014/main" id="{00000000-0008-0000-0500-00004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clrChange>
                <a:clrFrom>
                  <a:srgbClr val="FFFFFF"/>
                </a:clrFrom>
                <a:clrTo>
                  <a:srgbClr val="FFFFFF">
                    <a:alpha val="0"/>
                  </a:srgbClr>
                </a:clrTo>
              </a:clrChange>
              <a:duotone>
                <a:schemeClr val="bg2">
                  <a:shade val="45000"/>
                  <a:satMod val="135000"/>
                </a:schemeClr>
                <a:prstClr val="white"/>
              </a:duotone>
            </a:blip>
            <a:stretch>
              <a:fillRect/>
            </a:stretch>
          </xdr:blipFill>
          <xdr:spPr>
            <a:xfrm flipH="1">
              <a:off x="2423351" y="973789"/>
              <a:ext cx="190793" cy="157769"/>
            </a:xfrm>
            <a:prstGeom prst="rect">
              <a:avLst/>
            </a:prstGeom>
          </xdr:spPr>
        </xdr:pic>
      </xdr:grpSp>
      <xdr:grpSp>
        <xdr:nvGrpSpPr>
          <xdr:cNvPr id="45" name="Grupo 44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500-00002D000000}"/>
              </a:ext>
            </a:extLst>
          </xdr:cNvPr>
          <xdr:cNvGrpSpPr/>
        </xdr:nvGrpSpPr>
        <xdr:grpSpPr>
          <a:xfrm>
            <a:off x="3552495" y="871940"/>
            <a:ext cx="1281355" cy="240683"/>
            <a:chOff x="3508028" y="937541"/>
            <a:chExt cx="1274885" cy="229040"/>
          </a:xfrm>
        </xdr:grpSpPr>
        <xdr:grpSp>
          <xdr:nvGrpSpPr>
            <xdr:cNvPr id="61" name="Grupo 60">
              <a:extLst>
                <a:ext uri="{FF2B5EF4-FFF2-40B4-BE49-F238E27FC236}">
                  <a16:creationId xmlns:a16="http://schemas.microsoft.com/office/drawing/2014/main" id="{00000000-0008-0000-0500-00003D000000}"/>
                </a:ext>
              </a:extLst>
            </xdr:cNvPr>
            <xdr:cNvGrpSpPr/>
          </xdr:nvGrpSpPr>
          <xdr:grpSpPr>
            <a:xfrm>
              <a:off x="3508028" y="937541"/>
              <a:ext cx="1274885" cy="229040"/>
              <a:chOff x="1394313" y="929933"/>
              <a:chExt cx="1089515" cy="234755"/>
            </a:xfrm>
          </xdr:grpSpPr>
          <xdr:sp macro="" textlink="">
            <xdr:nvSpPr>
              <xdr:cNvPr id="63" name="Rectángulo 62">
                <a:extLst>
                  <a:ext uri="{FF2B5EF4-FFF2-40B4-BE49-F238E27FC236}">
                    <a16:creationId xmlns:a16="http://schemas.microsoft.com/office/drawing/2014/main" id="{00000000-0008-0000-0500-00003F000000}"/>
                  </a:ext>
                </a:extLst>
              </xdr:cNvPr>
              <xdr:cNvSpPr/>
            </xdr:nvSpPr>
            <xdr:spPr>
              <a:xfrm>
                <a:off x="1395634" y="929933"/>
                <a:ext cx="1088194" cy="234755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 anchorCtr="0"/>
              <a:lstStyle/>
              <a:p>
                <a:pPr algn="ctr"/>
                <a:r>
                  <a:rPr lang="es-MX" sz="1100" b="1">
                    <a:solidFill>
                      <a:schemeClr val="bg2">
                        <a:lumMod val="75000"/>
                      </a:schemeClr>
                    </a:solidFill>
                  </a:rPr>
                  <a:t>      Costos</a:t>
                </a:r>
                <a:r>
                  <a:rPr lang="es-MX" sz="1100" b="1" baseline="0">
                    <a:solidFill>
                      <a:schemeClr val="bg2">
                        <a:lumMod val="75000"/>
                      </a:schemeClr>
                    </a:solidFill>
                  </a:rPr>
                  <a:t> Indirectos</a:t>
                </a:r>
                <a:endParaRPr lang="es-MX" sz="1100" b="1">
                  <a:solidFill>
                    <a:schemeClr val="bg2">
                      <a:lumMod val="75000"/>
                    </a:schemeClr>
                  </a:solidFill>
                </a:endParaRPr>
              </a:p>
            </xdr:txBody>
          </xdr:sp>
          <xdr:cxnSp macro="">
            <xdr:nvCxnSpPr>
              <xdr:cNvPr id="64" name="Conector recto 63">
                <a:extLst>
                  <a:ext uri="{FF2B5EF4-FFF2-40B4-BE49-F238E27FC236}">
                    <a16:creationId xmlns:a16="http://schemas.microsoft.com/office/drawing/2014/main" id="{00000000-0008-0000-0500-000040000000}"/>
                  </a:ext>
                </a:extLst>
              </xdr:cNvPr>
              <xdr:cNvCxnSpPr/>
            </xdr:nvCxnSpPr>
            <xdr:spPr>
              <a:xfrm>
                <a:off x="1394313" y="1157654"/>
                <a:ext cx="1072663" cy="0"/>
              </a:xfrm>
              <a:prstGeom prst="line">
                <a:avLst/>
              </a:prstGeom>
              <a:ln w="12700">
                <a:solidFill>
                  <a:schemeClr val="bg2">
                    <a:lumMod val="75000"/>
                  </a:schemeClr>
                </a:solidFill>
              </a:ln>
            </xdr:spPr>
            <xdr:style>
              <a:lnRef idx="2">
                <a:schemeClr val="accent1"/>
              </a:lnRef>
              <a:fillRef idx="0">
                <a:schemeClr val="accent1"/>
              </a:fillRef>
              <a:effectRef idx="1">
                <a:schemeClr val="accent1"/>
              </a:effectRef>
              <a:fontRef idx="minor">
                <a:schemeClr val="tx1"/>
              </a:fontRef>
            </xdr:style>
          </xdr:cxnSp>
        </xdr:grpSp>
        <xdr:pic>
          <xdr:nvPicPr>
            <xdr:cNvPr id="62" name="Gráfico 61" descr="Monedas con relleno sólido">
              <a:extLst>
                <a:ext uri="{FF2B5EF4-FFF2-40B4-BE49-F238E27FC236}">
                  <a16:creationId xmlns:a16="http://schemas.microsoft.com/office/drawing/2014/main" id="{00000000-0008-0000-05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tretch>
              <a:fillRect/>
            </a:stretch>
          </xdr:blipFill>
          <xdr:spPr>
            <a:xfrm flipH="1">
              <a:off x="3529589" y="941774"/>
              <a:ext cx="185259" cy="203816"/>
            </a:xfrm>
            <a:prstGeom prst="rect">
              <a:avLst/>
            </a:prstGeom>
          </xdr:spPr>
        </xdr:pic>
      </xdr:grpSp>
      <xdr:grpSp>
        <xdr:nvGrpSpPr>
          <xdr:cNvPr id="49" name="Grupo 48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500-000031000000}"/>
              </a:ext>
            </a:extLst>
          </xdr:cNvPr>
          <xdr:cNvGrpSpPr/>
        </xdr:nvGrpSpPr>
        <xdr:grpSpPr>
          <a:xfrm>
            <a:off x="5641325" y="879750"/>
            <a:ext cx="910267" cy="233355"/>
            <a:chOff x="5582531" y="937541"/>
            <a:chExt cx="894469" cy="232850"/>
          </a:xfrm>
        </xdr:grpSpPr>
        <xdr:grpSp>
          <xdr:nvGrpSpPr>
            <xdr:cNvPr id="57" name="Grupo 56">
              <a:extLst>
                <a:ext uri="{FF2B5EF4-FFF2-40B4-BE49-F238E27FC236}">
                  <a16:creationId xmlns:a16="http://schemas.microsoft.com/office/drawing/2014/main" id="{00000000-0008-0000-0500-000039000000}"/>
                </a:ext>
              </a:extLst>
            </xdr:cNvPr>
            <xdr:cNvGrpSpPr/>
          </xdr:nvGrpSpPr>
          <xdr:grpSpPr>
            <a:xfrm>
              <a:off x="5582531" y="937541"/>
              <a:ext cx="894469" cy="232850"/>
              <a:chOff x="1394313" y="929933"/>
              <a:chExt cx="1089515" cy="234755"/>
            </a:xfrm>
          </xdr:grpSpPr>
          <xdr:sp macro="" textlink="">
            <xdr:nvSpPr>
              <xdr:cNvPr id="59" name="Rectángulo 58">
                <a:extLst>
                  <a:ext uri="{FF2B5EF4-FFF2-40B4-BE49-F238E27FC236}">
                    <a16:creationId xmlns:a16="http://schemas.microsoft.com/office/drawing/2014/main" id="{00000000-0008-0000-0500-00003B000000}"/>
                  </a:ext>
                </a:extLst>
              </xdr:cNvPr>
              <xdr:cNvSpPr/>
            </xdr:nvSpPr>
            <xdr:spPr>
              <a:xfrm>
                <a:off x="1395634" y="929933"/>
                <a:ext cx="1088194" cy="234755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 anchorCtr="0"/>
              <a:lstStyle/>
              <a:p>
                <a:pPr algn="ctr"/>
                <a:r>
                  <a:rPr lang="es-MX" sz="1100" b="1">
                    <a:solidFill>
                      <a:sysClr val="windowText" lastClr="000000"/>
                    </a:solidFill>
                  </a:rPr>
                  <a:t>     Resumen</a:t>
                </a:r>
              </a:p>
            </xdr:txBody>
          </xdr:sp>
          <xdr:cxnSp macro="">
            <xdr:nvCxnSpPr>
              <xdr:cNvPr id="60" name="Conector recto 59">
                <a:extLst>
                  <a:ext uri="{FF2B5EF4-FFF2-40B4-BE49-F238E27FC236}">
                    <a16:creationId xmlns:a16="http://schemas.microsoft.com/office/drawing/2014/main" id="{00000000-0008-0000-0500-00003C000000}"/>
                  </a:ext>
                </a:extLst>
              </xdr:cNvPr>
              <xdr:cNvCxnSpPr/>
            </xdr:nvCxnSpPr>
            <xdr:spPr>
              <a:xfrm>
                <a:off x="1394313" y="1157654"/>
                <a:ext cx="1072663" cy="0"/>
              </a:xfrm>
              <a:prstGeom prst="line">
                <a:avLst/>
              </a:prstGeom>
              <a:ln w="28575">
                <a:solidFill>
                  <a:sysClr val="windowText" lastClr="000000"/>
                </a:solidFill>
              </a:ln>
            </xdr:spPr>
            <xdr:style>
              <a:lnRef idx="2">
                <a:schemeClr val="accent1"/>
              </a:lnRef>
              <a:fillRef idx="0">
                <a:schemeClr val="accent1"/>
              </a:fillRef>
              <a:effectRef idx="1">
                <a:schemeClr val="accent1"/>
              </a:effectRef>
              <a:fontRef idx="minor">
                <a:schemeClr val="tx1"/>
              </a:fontRef>
            </xdr:style>
          </xdr:cxnSp>
        </xdr:grpSp>
        <xdr:pic>
          <xdr:nvPicPr>
            <xdr:cNvPr id="58" name="Gráfico 57" descr="Lista con relleno sólido">
              <a:extLst>
                <a:ext uri="{FF2B5EF4-FFF2-40B4-BE49-F238E27FC236}">
                  <a16:creationId xmlns:a16="http://schemas.microsoft.com/office/drawing/2014/main" id="{00000000-0008-0000-0500-00003A000000}"/>
                </a:ext>
              </a:extLst>
            </xdr:cNvPr>
            <xdr:cNvPicPr preferRelativeResize="0">
              <a:picLocks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2"/>
                </a:ext>
              </a:extLst>
            </a:blip>
            <a:stretch>
              <a:fillRect/>
            </a:stretch>
          </xdr:blipFill>
          <xdr:spPr>
            <a:xfrm>
              <a:off x="5658511" y="956163"/>
              <a:ext cx="179125" cy="189597"/>
            </a:xfrm>
            <a:prstGeom prst="rect">
              <a:avLst/>
            </a:prstGeom>
          </xdr:spPr>
        </xdr:pic>
      </xdr:grpSp>
      <xdr:grpSp>
        <xdr:nvGrpSpPr>
          <xdr:cNvPr id="50" name="Grupo 49">
            <a:extLst>
              <a:ext uri="{FF2B5EF4-FFF2-40B4-BE49-F238E27FC236}">
                <a16:creationId xmlns:a16="http://schemas.microsoft.com/office/drawing/2014/main" id="{00000000-0008-0000-0500-000032000000}"/>
              </a:ext>
            </a:extLst>
          </xdr:cNvPr>
          <xdr:cNvGrpSpPr/>
        </xdr:nvGrpSpPr>
        <xdr:grpSpPr>
          <a:xfrm>
            <a:off x="1287569" y="879470"/>
            <a:ext cx="1095896" cy="225566"/>
            <a:chOff x="1290169" y="941058"/>
            <a:chExt cx="1095230" cy="225230"/>
          </a:xfrm>
        </xdr:grpSpPr>
        <xdr:grpSp>
          <xdr:nvGrpSpPr>
            <xdr:cNvPr id="53" name="Grupo 52">
              <a:extLst>
                <a:ext uri="{FF2B5EF4-FFF2-40B4-BE49-F238E27FC236}">
                  <a16:creationId xmlns:a16="http://schemas.microsoft.com/office/drawing/2014/main" id="{00000000-0008-0000-0500-000035000000}"/>
                </a:ext>
              </a:extLst>
            </xdr:cNvPr>
            <xdr:cNvGrpSpPr/>
          </xdr:nvGrpSpPr>
          <xdr:grpSpPr>
            <a:xfrm>
              <a:off x="1288264" y="937248"/>
              <a:ext cx="1093325" cy="232850"/>
              <a:chOff x="1394313" y="928000"/>
              <a:chExt cx="1089515" cy="232882"/>
            </a:xfrm>
          </xdr:grpSpPr>
          <xdr:sp macro="" textlink="">
            <xdr:nvSpPr>
              <xdr:cNvPr id="55" name="Rectángulo 54">
                <a:hlinkClick xmlns:r="http://schemas.openxmlformats.org/officeDocument/2006/relationships" r:id="rId13"/>
                <a:extLst>
                  <a:ext uri="{FF2B5EF4-FFF2-40B4-BE49-F238E27FC236}">
                    <a16:creationId xmlns:a16="http://schemas.microsoft.com/office/drawing/2014/main" id="{00000000-0008-0000-0500-000037000000}"/>
                  </a:ext>
                </a:extLst>
              </xdr:cNvPr>
              <xdr:cNvSpPr/>
            </xdr:nvSpPr>
            <xdr:spPr>
              <a:xfrm>
                <a:off x="1399439" y="928000"/>
                <a:ext cx="1084389" cy="232882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 anchorCtr="0"/>
              <a:lstStyle/>
              <a:p>
                <a:pPr algn="ctr"/>
                <a:r>
                  <a:rPr lang="es-MX" sz="1100" b="1">
                    <a:solidFill>
                      <a:schemeClr val="bg2">
                        <a:lumMod val="75000"/>
                      </a:schemeClr>
                    </a:solidFill>
                  </a:rPr>
                  <a:t>     Materiales</a:t>
                </a:r>
              </a:p>
            </xdr:txBody>
          </xdr:sp>
          <xdr:cxnSp macro="">
            <xdr:nvCxnSpPr>
              <xdr:cNvPr id="56" name="Conector recto 55">
                <a:extLst>
                  <a:ext uri="{FF2B5EF4-FFF2-40B4-BE49-F238E27FC236}">
                    <a16:creationId xmlns:a16="http://schemas.microsoft.com/office/drawing/2014/main" id="{00000000-0008-0000-0500-000038000000}"/>
                  </a:ext>
                </a:extLst>
              </xdr:cNvPr>
              <xdr:cNvCxnSpPr/>
            </xdr:nvCxnSpPr>
            <xdr:spPr>
              <a:xfrm>
                <a:off x="1394313" y="1157654"/>
                <a:ext cx="1072663" cy="0"/>
              </a:xfrm>
              <a:prstGeom prst="line">
                <a:avLst/>
              </a:prstGeom>
              <a:ln w="12700">
                <a:solidFill>
                  <a:schemeClr val="bg2">
                    <a:lumMod val="75000"/>
                  </a:schemeClr>
                </a:solidFill>
              </a:ln>
            </xdr:spPr>
            <xdr:style>
              <a:lnRef idx="2">
                <a:schemeClr val="accent1"/>
              </a:lnRef>
              <a:fillRef idx="0">
                <a:schemeClr val="accent1"/>
              </a:fillRef>
              <a:effectRef idx="1">
                <a:schemeClr val="accent1"/>
              </a:effectRef>
              <a:fontRef idx="minor">
                <a:schemeClr val="tx1"/>
              </a:fontRef>
            </xdr:style>
          </xdr:cxnSp>
        </xdr:grpSp>
        <xdr:pic>
          <xdr:nvPicPr>
            <xdr:cNvPr id="54" name="Gráfico 53" descr="Carro de la compra con relleno sólido">
              <a:extLst>
                <a:ext uri="{FF2B5EF4-FFF2-40B4-BE49-F238E27FC236}">
                  <a16:creationId xmlns:a16="http://schemas.microsoft.com/office/drawing/2014/main" id="{00000000-0008-0000-0500-00003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5"/>
                </a:ext>
              </a:extLst>
            </a:blip>
            <a:stretch>
              <a:fillRect/>
            </a:stretch>
          </xdr:blipFill>
          <xdr:spPr>
            <a:xfrm>
              <a:off x="1391225" y="961041"/>
              <a:ext cx="195388" cy="189205"/>
            </a:xfrm>
            <a:prstGeom prst="rect">
              <a:avLst/>
            </a:prstGeom>
          </xdr:spPr>
        </xdr:pic>
      </xdr:grpSp>
      <xdr:pic>
        <xdr:nvPicPr>
          <xdr:cNvPr id="51" name="Imagen 50">
            <a:extLst>
              <a:ext uri="{FF2B5EF4-FFF2-40B4-BE49-F238E27FC236}">
                <a16:creationId xmlns:a16="http://schemas.microsoft.com/office/drawing/2014/main" id="{00000000-0008-0000-0500-00003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 bwMode="auto">
          <a:xfrm>
            <a:off x="162221" y="215703"/>
            <a:ext cx="453506" cy="44928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2" name="Rectángulo 51">
            <a:extLst>
              <a:ext uri="{FF2B5EF4-FFF2-40B4-BE49-F238E27FC236}">
                <a16:creationId xmlns:a16="http://schemas.microsoft.com/office/drawing/2014/main" id="{00000000-0008-0000-0500-000034000000}"/>
              </a:ext>
            </a:extLst>
          </xdr:cNvPr>
          <xdr:cNvSpPr/>
        </xdr:nvSpPr>
        <xdr:spPr>
          <a:xfrm>
            <a:off x="572643" y="212186"/>
            <a:ext cx="4077288" cy="45793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l"/>
            <a:r>
              <a:rPr lang="es-MX" sz="1600" b="1" i="0" u="none">
                <a:solidFill>
                  <a:sysClr val="windowText" lastClr="000000"/>
                </a:solidFill>
              </a:rPr>
              <a:t>Plantilla</a:t>
            </a:r>
            <a:r>
              <a:rPr lang="es-MX" sz="1600" b="1" i="0" u="none" baseline="0">
                <a:solidFill>
                  <a:sysClr val="windowText" lastClr="000000"/>
                </a:solidFill>
              </a:rPr>
              <a:t> Inteligente de Muebles</a:t>
            </a:r>
            <a:endParaRPr lang="es-MX" sz="1600" b="1" i="0" u="none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8</xdr:col>
      <xdr:colOff>466166</xdr:colOff>
      <xdr:row>68</xdr:row>
      <xdr:rowOff>87742</xdr:rowOff>
    </xdr:from>
    <xdr:to>
      <xdr:col>12</xdr:col>
      <xdr:colOff>451</xdr:colOff>
      <xdr:row>70</xdr:row>
      <xdr:rowOff>57816</xdr:rowOff>
    </xdr:to>
    <xdr:sp macro="[0]!Guardar_PDF" textlink="">
      <xdr:nvSpPr>
        <xdr:cNvPr id="77" name="Rectángulo: esquinas redondeadas 76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/>
      </xdr:nvSpPr>
      <xdr:spPr>
        <a:xfrm>
          <a:off x="6104966" y="9016589"/>
          <a:ext cx="1074646" cy="306923"/>
        </a:xfrm>
        <a:prstGeom prst="roundRect">
          <a:avLst/>
        </a:prstGeom>
        <a:solidFill>
          <a:srgbClr val="00B05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s-MX" sz="1100" b="1">
              <a:sym typeface="Wingdings" panose="05000000000000000000" pitchFamily="2" charset="2"/>
            </a:rPr>
            <a:t>GUARDAR PDF</a:t>
          </a:r>
          <a:endParaRPr lang="es-MX" sz="1100" b="1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66E2E31-0965-48F8-89AE-ED2DFC9E8BA6}" name="T_Mueble" displayName="T_Mueble" ref="B3:B9" totalsRowShown="0" headerRowDxfId="46" dataDxfId="45">
  <autoFilter ref="B3:B9" xr:uid="{866E2E31-0965-48F8-89AE-ED2DFC9E8BA6}"/>
  <tableColumns count="1">
    <tableColumn id="1" xr3:uid="{B28D67CA-3562-4E55-B222-5745CD74723C}" name="Tipo de Mueble" dataDxfId="44"/>
  </tableColumns>
  <tableStyleInfo name="TableStyleLight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1FADABD-4FBB-4365-B113-DBA104B996E5}" name="T_Categorias" displayName="T_Categorias" ref="D3:D12" totalsRowShown="0" headerRowDxfId="43" dataDxfId="42">
  <autoFilter ref="D3:D12" xr:uid="{C1FADABD-4FBB-4365-B113-DBA104B996E5}"/>
  <sortState xmlns:xlrd2="http://schemas.microsoft.com/office/spreadsheetml/2017/richdata2" ref="D4:D7">
    <sortCondition ref="D3:D7"/>
  </sortState>
  <tableColumns count="1">
    <tableColumn id="1" xr3:uid="{DCE46879-A349-4560-A023-0D3176E3265E}" name="Categorías" dataDxfId="41"/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7293663-139D-42C9-96AC-7E80F13CA9DE}" name="T_Unidades" displayName="T_Unidades" ref="J3:J6" totalsRowShown="0" headerRowDxfId="40" dataDxfId="39">
  <autoFilter ref="J3:J6" xr:uid="{87293663-139D-42C9-96AC-7E80F13CA9DE}"/>
  <tableColumns count="1">
    <tableColumn id="1" xr3:uid="{501CC7D4-FDD5-42E2-9C09-455DA4069F77}" name="Unidades" dataDxfId="38"/>
  </tableColumns>
  <tableStyleInfo name="TableStyleLight1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BA46852-53E1-4EFC-A7F0-44E25CD35E7F}" name="T_Materiales" displayName="T_Materiales" ref="F3:H32" totalsRowShown="0" headerRowDxfId="37" tableBorderDxfId="36">
  <autoFilter ref="F3:H32" xr:uid="{2BA46852-53E1-4EFC-A7F0-44E25CD35E7F}"/>
  <sortState xmlns:xlrd2="http://schemas.microsoft.com/office/spreadsheetml/2017/richdata2" ref="F4:H18">
    <sortCondition ref="F3:F18"/>
  </sortState>
  <tableColumns count="3">
    <tableColumn id="1" xr3:uid="{21A1B07E-05C1-49B5-AAED-0B54180BC676}" name="Categoría" dataDxfId="35"/>
    <tableColumn id="2" xr3:uid="{6A85D76D-1064-439C-9A25-4F9073B2E0CA}" name="Material" dataDxfId="34"/>
    <tableColumn id="3" xr3:uid="{727ECF78-12EC-447F-9494-823379E7C4C1}" name="Categoría - Material" dataDxfId="33">
      <calculatedColumnFormula>T_Materiales[[#This Row],[Categoría]]&amp;" - "&amp;T_Materiales[[#This Row],[Material]]</calculatedColumnFormula>
    </tableColumn>
  </tableColumns>
  <tableStyleInfo name="TableStyleLight1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EB23557-144F-4F1E-93C7-2F09B30A6E29}" name="TR_Info" displayName="TR_Info" ref="B3:H4" totalsRowShown="0" headerRowDxfId="32" dataDxfId="31">
  <autoFilter ref="B3:H4" xr:uid="{4EB23557-144F-4F1E-93C7-2F09B30A6E29}"/>
  <tableColumns count="7">
    <tableColumn id="1" xr3:uid="{9952B599-0284-4A0F-B21E-FE9FF63A83A0}" name="N_Proyecto" dataDxfId="30">
      <calculatedColumnFormula>Información!C13</calculatedColumnFormula>
    </tableColumn>
    <tableColumn id="2" xr3:uid="{43AD9073-EE6E-4023-8D0E-78FB7A3EBD72}" name="N_Cliente" dataDxfId="29">
      <calculatedColumnFormula>Información!C10</calculatedColumnFormula>
    </tableColumn>
    <tableColumn id="3" xr3:uid="{10A07E20-431B-4D98-9B92-98E4FC4A08DF}" name="T_Mueble" dataDxfId="28">
      <calculatedColumnFormula>Información!E10</calculatedColumnFormula>
    </tableColumn>
    <tableColumn id="4" xr3:uid="{ABE3B4B7-9B75-418B-A240-A79C826F5343}" name="Fecha" dataDxfId="27">
      <calculatedColumnFormula>Información!E13</calculatedColumnFormula>
    </tableColumn>
    <tableColumn id="5" xr3:uid="{DA16985C-12BE-4D7A-9C13-162E28BECE00}" name="Ubicación" dataDxfId="26">
      <calculatedColumnFormula>Información!C16</calculatedColumnFormula>
    </tableColumn>
    <tableColumn id="6" xr3:uid="{E3DCE1C0-835D-48DC-BE53-DC7BE5DC5EF4}" name="C_Aporta" dataDxfId="25"/>
    <tableColumn id="7" xr3:uid="{F552180D-6332-461D-BC07-8344810349C6}" name="Incluir_inst" dataDxfId="24"/>
  </tableColumns>
  <tableStyleInfo name="TableStyleLight1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CA819A0-0A1A-4A1B-B7E5-E51557CEA961}" name="TR_Costos" displayName="TR_Costos" ref="B11:K12" totalsRowShown="0" headerRowDxfId="23" dataDxfId="22">
  <autoFilter ref="B11:K12" xr:uid="{6CA819A0-0A1A-4A1B-B7E5-E51557CEA961}"/>
  <tableColumns count="10">
    <tableColumn id="1" xr3:uid="{A7ECC950-7726-463C-98B8-683F5C0C7E01}" name="C_Transporte" dataDxfId="21">
      <calculatedColumnFormula>Costos!E11</calculatedColumnFormula>
    </tableColumn>
    <tableColumn id="2" xr3:uid="{8DA8CB0D-2324-4AD9-BDD5-03B251BAA2ED}" name="C_Herramientas" dataDxfId="20">
      <calculatedColumnFormula>Costos!E13</calculatedColumnFormula>
    </tableColumn>
    <tableColumn id="3" xr3:uid="{01E15D70-18C0-4B13-9A96-53C254D440B6}" name="C_Alquiler" dataDxfId="19">
      <calculatedColumnFormula>Costos!E15</calculatedColumnFormula>
    </tableColumn>
    <tableColumn id="4" xr3:uid="{B266A7B8-424F-4C73-83C1-D001E1427790}" name="C_Caja" dataDxfId="18">
      <calculatedColumnFormula>Costos!E17</calculatedColumnFormula>
    </tableColumn>
    <tableColumn id="5" xr3:uid="{F8B09309-9786-4DB9-B39F-2C5F50E7ACDB}" name="Ch_Transporte" dataDxfId="17"/>
    <tableColumn id="6" xr3:uid="{569FBFEE-13A0-4632-AEDE-4F553AF9E0C8}" name="Ch_Herramientas" dataDxfId="16"/>
    <tableColumn id="7" xr3:uid="{6CCB21F1-E033-4511-86D4-FE228A5E64AE}" name="Ch_Alquiler" dataDxfId="15"/>
    <tableColumn id="8" xr3:uid="{2074630B-B4F4-45E3-91A8-7C6237B23041}" name="Ch_Caja" dataDxfId="14"/>
    <tableColumn id="9" xr3:uid="{B9A3F8A6-DB0C-430D-B7DF-4B1EB9CFB046}" name="Porc_Extra" dataDxfId="13">
      <calculatedColumnFormula>Costos!I11</calculatedColumnFormula>
    </tableColumn>
    <tableColumn id="10" xr3:uid="{CCCD07FB-DB4D-4335-96BD-FB5C6529374E}" name="Comentarios" dataDxfId="12">
      <calculatedColumnFormula>Costos!G14</calculatedColumnFormula>
    </tableColumn>
  </tableColumns>
  <tableStyleInfo name="TableStyleLight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F51E70D-2F24-431E-AD4C-4A00CCC8DD4E}" name="TR_Ganancia" displayName="TR_Ganancia" ref="B15:C16" totalsRowShown="0" headerRowDxfId="11" dataDxfId="10">
  <autoFilter ref="B15:C16" xr:uid="{4F51E70D-2F24-431E-AD4C-4A00CCC8DD4E}"/>
  <tableColumns count="2">
    <tableColumn id="1" xr3:uid="{03765C53-C4F8-424E-973B-29D5DB2B1639}" name="Margen" dataDxfId="9">
      <calculatedColumnFormula>Mrgn</calculatedColumnFormula>
    </tableColumn>
    <tableColumn id="2" xr3:uid="{102FEA74-9ED5-4087-BEA6-D08DD2C4786A}" name="Ajuste" dataDxfId="8">
      <calculatedColumnFormula>Ganancia!E16</calculatedColumnFormula>
    </tableColumn>
  </tableColumns>
  <tableStyleInfo name="TableStyleLight1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83EAE1-9DEB-4140-BB74-47363DF63293}" name="TR_Mano" displayName="TR_Mano" ref="B7:G8" totalsRowShown="0" headerRowDxfId="7" dataDxfId="6">
  <autoFilter ref="B7:G8" xr:uid="{B883EAE1-9DEB-4140-BB74-47363DF63293}"/>
  <tableColumns count="6">
    <tableColumn id="1" xr3:uid="{1A087B15-C893-4222-B02B-6FEF032CBFE1}" name="Medidas" dataDxfId="5">
      <calculatedColumnFormula>'Mano de Obra'!C12</calculatedColumnFormula>
    </tableColumn>
    <tableColumn id="2" xr3:uid="{CD3C83D9-485E-495A-8529-AE3BC9BD0A4E}" name="Diseño" dataDxfId="4">
      <calculatedColumnFormula>'Mano de Obra'!C15</calculatedColumnFormula>
    </tableColumn>
    <tableColumn id="3" xr3:uid="{4F6CFC84-240D-4BDE-8C57-58BC923A0B47}" name="Armado" dataDxfId="3">
      <calculatedColumnFormula>'Mano de Obra'!C18</calculatedColumnFormula>
    </tableColumn>
    <tableColumn id="4" xr3:uid="{CFA63373-FA8B-4AB2-9EB0-91CD8C2BE48E}" name="Instalacion" dataDxfId="2">
      <calculatedColumnFormula>'Mano de Obra'!C21</calculatedColumnFormula>
    </tableColumn>
    <tableColumn id="5" xr3:uid="{CF648BEB-312C-41A4-906D-60361DCC60D8}" name="Costo_hora" dataDxfId="1">
      <calculatedColumnFormula>'Mano de Obra'!F12</calculatedColumnFormula>
    </tableColumn>
    <tableColumn id="6" xr3:uid="{D16EDEE3-BE47-468E-AB6A-160A5723BA66}" name="Costo_día" dataDxfId="0">
      <calculatedColumnFormula>'Mano de Obra'!F15</calculatedColumnFormula>
    </tableColumn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21"/>
  <sheetViews>
    <sheetView showGridLines="0" showRowColHeaders="0" zoomScaleNormal="100" workbookViewId="0">
      <selection activeCell="C13" sqref="C13"/>
    </sheetView>
  </sheetViews>
  <sheetFormatPr baseColWidth="10" defaultColWidth="0" defaultRowHeight="12.9" zeroHeight="1"/>
  <cols>
    <col min="1" max="1" width="2.1015625" style="1" customWidth="1"/>
    <col min="2" max="2" width="1.89453125" style="1" customWidth="1"/>
    <col min="3" max="3" width="54" style="1" customWidth="1"/>
    <col min="4" max="4" width="2.1015625" style="1" customWidth="1"/>
    <col min="5" max="5" width="32.5234375" style="1" customWidth="1"/>
    <col min="6" max="6" width="1.89453125" style="1" customWidth="1"/>
    <col min="7" max="7" width="0.5234375" style="1" customWidth="1"/>
    <col min="8" max="8" width="2" style="1" customWidth="1"/>
    <col min="9" max="16384" width="9.1015625" style="1" hidden="1"/>
  </cols>
  <sheetData>
    <row r="1" spans="1:10">
      <c r="A1" s="17"/>
      <c r="B1" s="17"/>
      <c r="C1" s="17"/>
      <c r="D1" s="17"/>
      <c r="E1" s="17"/>
      <c r="F1" s="17"/>
      <c r="G1" s="17"/>
      <c r="H1" s="17"/>
    </row>
    <row r="2" spans="1:10" ht="45" customHeight="1">
      <c r="A2" s="17"/>
      <c r="B2" s="17"/>
      <c r="C2" s="17"/>
      <c r="D2" s="17"/>
      <c r="E2" s="184"/>
      <c r="F2" s="17"/>
      <c r="G2" s="17"/>
      <c r="H2" s="17"/>
    </row>
    <row r="3" spans="1:10" ht="14.4">
      <c r="A3" s="17"/>
      <c r="B3" s="17"/>
      <c r="C3" s="19"/>
      <c r="D3" s="17"/>
      <c r="E3" s="17"/>
      <c r="F3" s="17"/>
      <c r="G3" s="17"/>
      <c r="H3" s="17"/>
    </row>
    <row r="4" spans="1:10" ht="21" customHeight="1">
      <c r="A4" s="17"/>
      <c r="B4" s="17"/>
      <c r="C4" s="17"/>
      <c r="D4" s="17"/>
      <c r="E4" s="17"/>
      <c r="F4" s="17"/>
      <c r="G4" s="17"/>
      <c r="H4" s="17"/>
    </row>
    <row r="5" spans="1:10">
      <c r="A5" s="17"/>
      <c r="B5" s="17"/>
      <c r="C5" s="17"/>
      <c r="D5" s="17"/>
      <c r="E5" s="17"/>
      <c r="F5" s="17"/>
      <c r="G5" s="17"/>
      <c r="H5" s="17"/>
    </row>
    <row r="6" spans="1:10" ht="9.6" customHeight="1">
      <c r="A6" s="17"/>
      <c r="B6" s="2"/>
      <c r="C6" s="3"/>
      <c r="D6" s="3"/>
      <c r="E6" s="3"/>
      <c r="F6" s="4"/>
      <c r="G6" s="16"/>
      <c r="H6" s="17"/>
      <c r="J6" s="5"/>
    </row>
    <row r="7" spans="1:10" ht="16.8" customHeight="1">
      <c r="A7" s="17"/>
      <c r="B7" s="6"/>
      <c r="C7" s="106"/>
      <c r="D7" s="107"/>
      <c r="E7" s="107"/>
      <c r="F7" s="9"/>
      <c r="G7" s="16"/>
      <c r="H7" s="17"/>
    </row>
    <row r="8" spans="1:10" ht="7.95" customHeight="1">
      <c r="A8" s="17"/>
      <c r="B8" s="6"/>
      <c r="C8" s="8"/>
      <c r="D8" s="8"/>
      <c r="E8" s="8"/>
      <c r="F8" s="9"/>
      <c r="G8" s="16"/>
      <c r="H8" s="17"/>
    </row>
    <row r="9" spans="1:10">
      <c r="A9" s="17"/>
      <c r="B9" s="6"/>
      <c r="C9" s="18" t="s">
        <v>1</v>
      </c>
      <c r="D9" s="8"/>
      <c r="E9" s="18" t="s">
        <v>2</v>
      </c>
      <c r="F9" s="9"/>
      <c r="G9" s="16"/>
      <c r="H9" s="17"/>
    </row>
    <row r="10" spans="1:10" ht="13.8">
      <c r="A10" s="17"/>
      <c r="B10" s="11"/>
      <c r="C10" s="36" t="s">
        <v>158</v>
      </c>
      <c r="E10" s="173" t="s">
        <v>40</v>
      </c>
      <c r="F10" s="9"/>
      <c r="G10" s="16"/>
      <c r="H10" s="17"/>
    </row>
    <row r="11" spans="1:10">
      <c r="A11" s="17"/>
      <c r="B11" s="11"/>
      <c r="F11" s="9"/>
      <c r="G11" s="16"/>
      <c r="H11" s="17"/>
    </row>
    <row r="12" spans="1:10">
      <c r="A12" s="17"/>
      <c r="B12" s="11"/>
      <c r="C12" s="10" t="s">
        <v>0</v>
      </c>
      <c r="E12" s="18" t="s">
        <v>3</v>
      </c>
      <c r="F12" s="9"/>
      <c r="G12" s="16"/>
      <c r="H12" s="17"/>
    </row>
    <row r="13" spans="1:10" ht="13.8">
      <c r="A13" s="17"/>
      <c r="B13" s="11"/>
      <c r="C13" s="35" t="s">
        <v>160</v>
      </c>
      <c r="E13" s="40"/>
      <c r="F13" s="9"/>
      <c r="G13" s="16"/>
      <c r="H13" s="17"/>
    </row>
    <row r="14" spans="1:10">
      <c r="A14" s="17"/>
      <c r="B14" s="11"/>
      <c r="F14" s="9"/>
      <c r="G14" s="16"/>
      <c r="H14" s="17"/>
    </row>
    <row r="15" spans="1:10">
      <c r="A15" s="17"/>
      <c r="B15" s="11"/>
      <c r="C15" s="18" t="s">
        <v>5</v>
      </c>
      <c r="F15" s="9"/>
      <c r="G15" s="16"/>
      <c r="H15" s="17"/>
    </row>
    <row r="16" spans="1:10" ht="13.8">
      <c r="A16" s="17"/>
      <c r="B16" s="11"/>
      <c r="C16" s="173" t="s">
        <v>159</v>
      </c>
      <c r="E16" s="12"/>
      <c r="F16" s="9"/>
      <c r="G16" s="16"/>
      <c r="H16" s="17"/>
    </row>
    <row r="17" spans="1:8">
      <c r="A17" s="17"/>
      <c r="B17" s="13"/>
      <c r="C17" s="14"/>
      <c r="D17" s="14"/>
      <c r="E17" s="14"/>
      <c r="F17" s="15"/>
      <c r="G17" s="16"/>
      <c r="H17" s="17"/>
    </row>
    <row r="18" spans="1:8" ht="3.75" customHeight="1">
      <c r="A18" s="17"/>
      <c r="B18" s="16"/>
      <c r="C18" s="16"/>
      <c r="D18" s="16"/>
      <c r="E18" s="16"/>
      <c r="F18" s="16"/>
      <c r="G18" s="16"/>
      <c r="H18" s="17"/>
    </row>
    <row r="19" spans="1:8">
      <c r="A19" s="17"/>
      <c r="B19" s="17"/>
      <c r="C19" s="17"/>
      <c r="D19" s="17"/>
      <c r="E19" s="17"/>
      <c r="F19" s="17"/>
      <c r="G19" s="17"/>
      <c r="H19" s="17"/>
    </row>
    <row r="20" spans="1:8">
      <c r="A20" s="17"/>
      <c r="B20" s="17"/>
      <c r="C20" s="174"/>
      <c r="D20" s="174"/>
      <c r="E20" s="17"/>
      <c r="F20" s="17"/>
      <c r="G20" s="17"/>
      <c r="H20" s="17"/>
    </row>
    <row r="21" spans="1:8">
      <c r="A21" s="17"/>
      <c r="B21" s="17"/>
      <c r="C21" s="17"/>
      <c r="D21" s="17"/>
      <c r="E21" s="17"/>
      <c r="F21" s="17"/>
      <c r="G21" s="17"/>
      <c r="H21" s="17"/>
    </row>
  </sheetData>
  <sheetProtection sheet="1" objects="1" scenarios="1" selectLockedCells="1"/>
  <dataValidations count="2">
    <dataValidation type="list" allowBlank="1" showInputMessage="1" showErrorMessage="1" error="Seleccionar opción de la lista desplegable" prompt="Seleccione una opción de la lista desplegable" sqref="E10" xr:uid="{4AD4C00A-CC0E-478E-BD0D-31A8D3B35429}">
      <formula1>Menu_T_Mueble</formula1>
    </dataValidation>
    <dataValidation type="date" allowBlank="1" showInputMessage="1" showErrorMessage="1" error="Favor de ingresar una fecha" prompt="Ingrese una fecha con el formato dd-mmm-aaaa" sqref="E13" xr:uid="{59B71FAE-4D42-4D38-A114-C303CE719053}">
      <formula1>36526</formula1>
      <formula2>402133</formula2>
    </dataValidation>
  </dataValidations>
  <pageMargins left="0.25" right="0.25" top="0.75" bottom="0.75" header="0.3" footer="0.3"/>
  <pageSetup scale="8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Check Box 3">
              <controlPr defaultSize="0" autoFill="0" autoLine="0" autoPict="0">
                <anchor moveWithCells="1">
                  <from>
                    <xdr:col>4</xdr:col>
                    <xdr:colOff>533400</xdr:colOff>
                    <xdr:row>13</xdr:row>
                    <xdr:rowOff>91440</xdr:rowOff>
                  </from>
                  <to>
                    <xdr:col>4</xdr:col>
                    <xdr:colOff>769620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Check Box 4">
              <controlPr defaultSize="0" autoFill="0" autoLine="0" autoPict="0">
                <anchor moveWithCells="1">
                  <from>
                    <xdr:col>4</xdr:col>
                    <xdr:colOff>533400</xdr:colOff>
                    <xdr:row>14</xdr:row>
                    <xdr:rowOff>129540</xdr:rowOff>
                  </from>
                  <to>
                    <xdr:col>4</xdr:col>
                    <xdr:colOff>742950</xdr:colOff>
                    <xdr:row>16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85C60-AD02-465E-83C5-CEFD4AFAAD86}">
  <sheetPr codeName="Hoja2"/>
  <dimension ref="A1:O113"/>
  <sheetViews>
    <sheetView showGridLines="0" showRowColHeaders="0" topLeftCell="A3" zoomScaleNormal="100" workbookViewId="0">
      <selection activeCell="F15" sqref="F15"/>
    </sheetView>
  </sheetViews>
  <sheetFormatPr baseColWidth="10" defaultColWidth="0" defaultRowHeight="13.2" customHeight="1" zeroHeight="1"/>
  <cols>
    <col min="1" max="1" width="2.1015625" style="1" customWidth="1"/>
    <col min="2" max="2" width="1.41796875" style="1" customWidth="1"/>
    <col min="3" max="3" width="43.1015625" style="1" customWidth="1"/>
    <col min="4" max="4" width="10.68359375" style="1" customWidth="1"/>
    <col min="5" max="5" width="11.1015625" style="1" customWidth="1"/>
    <col min="6" max="6" width="9.41796875" style="1" customWidth="1"/>
    <col min="7" max="7" width="13.20703125" style="1" customWidth="1"/>
    <col min="8" max="8" width="2.41796875" style="1" customWidth="1"/>
    <col min="9" max="9" width="0.5234375" style="1" customWidth="1"/>
    <col min="10" max="10" width="2" style="1" customWidth="1"/>
    <col min="11" max="11" width="9.1015625" style="1" hidden="1" customWidth="1"/>
    <col min="12" max="15" width="0" style="1" hidden="1" customWidth="1"/>
    <col min="16" max="16384" width="9.1015625" style="1" hidden="1"/>
  </cols>
  <sheetData>
    <row r="1" spans="1:12" ht="10.95" customHeight="1">
      <c r="A1" s="17"/>
      <c r="B1" s="17"/>
      <c r="C1" s="17"/>
      <c r="D1" s="17"/>
      <c r="E1" s="17"/>
      <c r="F1" s="17"/>
      <c r="G1" s="17"/>
      <c r="H1" s="17"/>
      <c r="I1" s="17"/>
      <c r="J1" s="17"/>
    </row>
    <row r="2" spans="1:12" ht="47.85" customHeight="1">
      <c r="A2" s="17"/>
      <c r="B2" s="17"/>
      <c r="C2" s="17"/>
      <c r="D2" s="17"/>
      <c r="E2" s="17"/>
      <c r="F2" s="17"/>
      <c r="G2" s="19"/>
      <c r="H2" s="182">
        <f>Información!E2</f>
        <v>0</v>
      </c>
      <c r="I2" s="17"/>
      <c r="J2" s="17"/>
    </row>
    <row r="3" spans="1:12" ht="21" customHeight="1">
      <c r="A3" s="17"/>
      <c r="B3" s="17"/>
      <c r="C3" s="17"/>
      <c r="D3" s="17"/>
      <c r="E3" s="17"/>
      <c r="F3" s="17"/>
      <c r="G3" s="17"/>
      <c r="H3" s="17"/>
      <c r="I3" s="17"/>
      <c r="J3" s="17"/>
    </row>
    <row r="4" spans="1:12" ht="12.9">
      <c r="A4" s="17"/>
      <c r="B4" s="17"/>
      <c r="C4" s="17"/>
      <c r="D4" s="17"/>
      <c r="E4" s="17"/>
      <c r="F4" s="17"/>
      <c r="G4" s="17"/>
      <c r="H4" s="17"/>
      <c r="I4" s="17"/>
      <c r="J4" s="17"/>
    </row>
    <row r="5" spans="1:12" ht="9.6" customHeight="1">
      <c r="A5" s="17"/>
      <c r="B5" s="2"/>
      <c r="C5" s="3"/>
      <c r="D5" s="3"/>
      <c r="E5" s="3"/>
      <c r="F5" s="3"/>
      <c r="G5" s="3"/>
      <c r="H5" s="4"/>
      <c r="I5" s="16"/>
      <c r="J5" s="17"/>
      <c r="L5" s="5"/>
    </row>
    <row r="6" spans="1:12" ht="14.4">
      <c r="A6" s="17"/>
      <c r="B6" s="6"/>
      <c r="C6" s="8"/>
      <c r="D6" s="8"/>
      <c r="E6" s="8"/>
      <c r="F6" s="8"/>
      <c r="G6" s="20"/>
      <c r="H6" s="9"/>
      <c r="I6" s="16"/>
      <c r="J6" s="17"/>
      <c r="L6" s="5"/>
    </row>
    <row r="7" spans="1:12" ht="5.4" customHeight="1">
      <c r="A7" s="17"/>
      <c r="B7" s="6"/>
      <c r="C7" s="8"/>
      <c r="D7" s="8"/>
      <c r="E7" s="8"/>
      <c r="F7" s="8"/>
      <c r="G7" s="8"/>
      <c r="H7" s="9"/>
      <c r="I7" s="16"/>
      <c r="J7" s="17"/>
      <c r="L7" s="5"/>
    </row>
    <row r="8" spans="1:12" ht="12.9">
      <c r="A8" s="17"/>
      <c r="B8" s="6"/>
      <c r="C8" s="8"/>
      <c r="D8" s="8"/>
      <c r="E8" s="8"/>
      <c r="F8" s="8"/>
      <c r="G8" s="8"/>
      <c r="H8" s="9"/>
      <c r="I8" s="16"/>
      <c r="J8" s="17"/>
    </row>
    <row r="9" spans="1:12" ht="12.9">
      <c r="A9" s="17"/>
      <c r="B9" s="11"/>
      <c r="C9" s="93" t="s">
        <v>108</v>
      </c>
      <c r="D9" s="22" t="s">
        <v>6</v>
      </c>
      <c r="E9" s="156" t="s">
        <v>123</v>
      </c>
      <c r="F9" s="22" t="s">
        <v>7</v>
      </c>
      <c r="G9" s="94" t="s">
        <v>8</v>
      </c>
      <c r="H9" s="21"/>
      <c r="I9" s="16"/>
      <c r="J9" s="17"/>
    </row>
    <row r="10" spans="1:12" s="155" customFormat="1" ht="12.9">
      <c r="A10" s="148"/>
      <c r="B10" s="149"/>
      <c r="C10" s="152" t="s">
        <v>142</v>
      </c>
      <c r="D10" s="153" t="s">
        <v>75</v>
      </c>
      <c r="E10" s="159">
        <v>51990</v>
      </c>
      <c r="F10" s="153">
        <v>7</v>
      </c>
      <c r="G10" s="154">
        <f t="shared" ref="G10:G15" si="0">E10*F10</f>
        <v>363930</v>
      </c>
      <c r="H10" s="150"/>
      <c r="I10" s="151"/>
      <c r="J10" s="148"/>
    </row>
    <row r="11" spans="1:12" s="155" customFormat="1" ht="12.9">
      <c r="A11" s="148"/>
      <c r="B11" s="149"/>
      <c r="C11" s="152" t="s">
        <v>138</v>
      </c>
      <c r="D11" s="153" t="s">
        <v>75</v>
      </c>
      <c r="E11" s="159">
        <v>66590</v>
      </c>
      <c r="F11" s="153">
        <v>3</v>
      </c>
      <c r="G11" s="154">
        <f t="shared" si="0"/>
        <v>199770</v>
      </c>
      <c r="H11" s="150"/>
      <c r="I11" s="151"/>
      <c r="J11" s="148"/>
    </row>
    <row r="12" spans="1:12" s="155" customFormat="1" ht="12.9">
      <c r="A12" s="148"/>
      <c r="B12" s="149"/>
      <c r="C12" s="152" t="s">
        <v>140</v>
      </c>
      <c r="D12" s="153" t="s">
        <v>75</v>
      </c>
      <c r="E12" s="159">
        <v>11300</v>
      </c>
      <c r="F12" s="153">
        <v>28</v>
      </c>
      <c r="G12" s="154">
        <f t="shared" si="0"/>
        <v>316400</v>
      </c>
      <c r="H12" s="150"/>
      <c r="I12" s="151"/>
      <c r="J12" s="148"/>
    </row>
    <row r="13" spans="1:12" s="155" customFormat="1" ht="12.9">
      <c r="A13" s="148"/>
      <c r="B13" s="149"/>
      <c r="C13" s="152" t="s">
        <v>141</v>
      </c>
      <c r="D13" s="153" t="s">
        <v>89</v>
      </c>
      <c r="E13" s="159">
        <v>900</v>
      </c>
      <c r="F13" s="153">
        <v>100</v>
      </c>
      <c r="G13" s="154">
        <f t="shared" si="0"/>
        <v>90000</v>
      </c>
      <c r="H13" s="150"/>
      <c r="I13" s="151"/>
      <c r="J13" s="148"/>
    </row>
    <row r="14" spans="1:12" s="155" customFormat="1" ht="12.9">
      <c r="A14" s="148"/>
      <c r="B14" s="149"/>
      <c r="C14" s="152" t="s">
        <v>139</v>
      </c>
      <c r="D14" s="153" t="s">
        <v>75</v>
      </c>
      <c r="E14" s="159">
        <v>2200</v>
      </c>
      <c r="F14" s="153">
        <v>4</v>
      </c>
      <c r="G14" s="154">
        <f t="shared" si="0"/>
        <v>8800</v>
      </c>
      <c r="H14" s="150"/>
      <c r="I14" s="151"/>
      <c r="J14" s="148"/>
    </row>
    <row r="15" spans="1:12" s="155" customFormat="1" ht="12.9">
      <c r="A15" s="148"/>
      <c r="B15" s="149"/>
      <c r="C15" s="152" t="s">
        <v>149</v>
      </c>
      <c r="D15" s="153" t="s">
        <v>75</v>
      </c>
      <c r="E15" s="159">
        <v>2000</v>
      </c>
      <c r="F15" s="153">
        <v>10</v>
      </c>
      <c r="G15" s="154">
        <f t="shared" si="0"/>
        <v>20000</v>
      </c>
      <c r="H15" s="150"/>
      <c r="I15" s="151"/>
      <c r="J15" s="148"/>
    </row>
    <row r="16" spans="1:12" s="155" customFormat="1" ht="12.9">
      <c r="A16" s="148"/>
      <c r="B16" s="149"/>
      <c r="C16" s="152" t="s">
        <v>163</v>
      </c>
      <c r="D16" s="153" t="s">
        <v>75</v>
      </c>
      <c r="E16" s="159">
        <v>22990</v>
      </c>
      <c r="F16" s="153">
        <v>6</v>
      </c>
      <c r="G16" s="154">
        <f>E16*F16</f>
        <v>137940</v>
      </c>
      <c r="H16" s="150"/>
      <c r="I16" s="151"/>
      <c r="J16" s="148"/>
    </row>
    <row r="17" spans="1:10" s="155" customFormat="1" ht="12.9">
      <c r="A17" s="148"/>
      <c r="B17" s="149"/>
      <c r="C17" s="152" t="s">
        <v>163</v>
      </c>
      <c r="D17" s="153" t="s">
        <v>75</v>
      </c>
      <c r="E17" s="159">
        <v>1990</v>
      </c>
      <c r="F17" s="153">
        <v>56</v>
      </c>
      <c r="G17" s="154">
        <f>E17*F17</f>
        <v>111440</v>
      </c>
      <c r="H17" s="150"/>
      <c r="I17" s="151"/>
      <c r="J17" s="148"/>
    </row>
    <row r="18" spans="1:10" s="155" customFormat="1" ht="12.9">
      <c r="A18" s="148"/>
      <c r="B18" s="149"/>
      <c r="C18" s="152" t="s">
        <v>165</v>
      </c>
      <c r="D18" s="153" t="s">
        <v>75</v>
      </c>
      <c r="E18" s="159">
        <v>1690</v>
      </c>
      <c r="F18" s="153">
        <v>4</v>
      </c>
      <c r="G18" s="154">
        <f>E18*F18</f>
        <v>6760</v>
      </c>
      <c r="H18" s="150"/>
      <c r="I18" s="151"/>
      <c r="J18" s="148"/>
    </row>
    <row r="19" spans="1:10" s="155" customFormat="1" ht="12.9">
      <c r="A19" s="148"/>
      <c r="B19" s="149"/>
      <c r="C19" s="152" t="s">
        <v>167</v>
      </c>
      <c r="D19" s="153" t="s">
        <v>75</v>
      </c>
      <c r="E19" s="159">
        <v>3650</v>
      </c>
      <c r="F19" s="153">
        <v>1</v>
      </c>
      <c r="G19" s="154">
        <f>E19*F19</f>
        <v>3650</v>
      </c>
      <c r="H19" s="150"/>
      <c r="I19" s="151"/>
      <c r="J19" s="148"/>
    </row>
    <row r="20" spans="1:10" s="155" customFormat="1" ht="12.9" hidden="1">
      <c r="A20" s="148"/>
      <c r="B20" s="149"/>
      <c r="C20" s="152"/>
      <c r="D20" s="153"/>
      <c r="E20" s="157"/>
      <c r="F20" s="153"/>
      <c r="G20" s="154"/>
      <c r="H20" s="150"/>
      <c r="I20" s="151"/>
      <c r="J20" s="148"/>
    </row>
    <row r="21" spans="1:10" ht="14.4">
      <c r="A21" s="17"/>
      <c r="B21" s="11"/>
      <c r="C21" s="23"/>
      <c r="D21" s="23"/>
      <c r="E21" s="158"/>
      <c r="F21" s="24" t="s">
        <v>9</v>
      </c>
      <c r="G21" s="25">
        <f>SUM(G9:G20)</f>
        <v>1258690</v>
      </c>
      <c r="H21" s="9"/>
      <c r="I21" s="16"/>
      <c r="J21" s="17"/>
    </row>
    <row r="22" spans="1:10" ht="7.2" customHeight="1">
      <c r="A22" s="17"/>
      <c r="B22" s="13"/>
      <c r="C22" s="14"/>
      <c r="D22" s="14"/>
      <c r="E22" s="14"/>
      <c r="F22" s="14"/>
      <c r="G22" s="14"/>
      <c r="H22" s="15"/>
      <c r="I22" s="16"/>
      <c r="J22" s="17"/>
    </row>
    <row r="23" spans="1:10" ht="12.9">
      <c r="A23" s="17"/>
      <c r="B23" s="16"/>
      <c r="C23" s="16"/>
      <c r="D23" s="16"/>
      <c r="E23" s="16"/>
      <c r="F23" s="16"/>
      <c r="G23" s="16"/>
      <c r="H23" s="16"/>
      <c r="I23" s="16"/>
      <c r="J23" s="17"/>
    </row>
    <row r="24" spans="1:10" ht="12.9">
      <c r="A24" s="17"/>
      <c r="B24" s="17"/>
      <c r="C24" s="17"/>
      <c r="D24" s="17"/>
      <c r="E24" s="17"/>
      <c r="F24" s="17"/>
      <c r="G24" s="17"/>
      <c r="H24" s="17"/>
      <c r="I24" s="17"/>
      <c r="J24" s="17"/>
    </row>
    <row r="25" spans="1:10" ht="12.9">
      <c r="A25" s="17"/>
      <c r="B25" s="17"/>
      <c r="C25" s="17"/>
      <c r="D25" s="17"/>
      <c r="E25" s="17"/>
      <c r="F25" s="17"/>
      <c r="G25" s="17"/>
      <c r="H25" s="17"/>
      <c r="I25" s="17"/>
      <c r="J25" s="17"/>
    </row>
    <row r="26" spans="1:10" ht="12.9">
      <c r="A26" s="17"/>
      <c r="B26" s="17"/>
      <c r="C26" s="17"/>
      <c r="D26" s="17"/>
      <c r="E26" s="17"/>
      <c r="F26" s="17"/>
      <c r="G26" s="17"/>
      <c r="H26" s="17"/>
      <c r="I26" s="17"/>
      <c r="J26" s="17"/>
    </row>
    <row r="27" spans="1:10" s="155" customFormat="1" ht="12.9" hidden="1"/>
    <row r="28" spans="1:10" s="155" customFormat="1" ht="12.9" hidden="1"/>
    <row r="29" spans="1:10" s="155" customFormat="1" ht="12.9" hidden="1"/>
    <row r="30" spans="1:10" s="155" customFormat="1" ht="12.9" hidden="1"/>
    <row r="31" spans="1:10" s="155" customFormat="1" ht="12.9" hidden="1"/>
    <row r="32" spans="1:10" s="155" customFormat="1" ht="12.9" hidden="1"/>
    <row r="33" s="155" customFormat="1" ht="12.9" hidden="1"/>
    <row r="34" s="155" customFormat="1" ht="12.9" hidden="1"/>
    <row r="35" s="155" customFormat="1" ht="12.9" hidden="1"/>
    <row r="36" s="155" customFormat="1" ht="12.9" hidden="1"/>
    <row r="37" s="155" customFormat="1" ht="12.9" hidden="1"/>
    <row r="38" s="155" customFormat="1" ht="12.9" hidden="1"/>
    <row r="39" s="155" customFormat="1" ht="12.9" hidden="1"/>
    <row r="40" s="155" customFormat="1" ht="12.9" hidden="1"/>
    <row r="41" s="155" customFormat="1" ht="12.9" hidden="1"/>
    <row r="42" s="155" customFormat="1" ht="12.9" hidden="1"/>
    <row r="43" s="155" customFormat="1" ht="12.9" hidden="1"/>
    <row r="44" s="155" customFormat="1" ht="12.9" hidden="1"/>
    <row r="45" s="155" customFormat="1" ht="12.9" hidden="1"/>
    <row r="46" s="155" customFormat="1" ht="12.9" hidden="1"/>
    <row r="47" s="155" customFormat="1" ht="12.9" hidden="1"/>
    <row r="48" s="155" customFormat="1" ht="12.9" hidden="1"/>
    <row r="49" s="155" customFormat="1" ht="12.9" hidden="1"/>
    <row r="50" s="155" customFormat="1" ht="12.9" hidden="1"/>
    <row r="51" s="155" customFormat="1" ht="12.9" hidden="1"/>
    <row r="52" s="155" customFormat="1" ht="12.9" hidden="1"/>
    <row r="53" s="155" customFormat="1" ht="12.9" hidden="1"/>
    <row r="54" s="155" customFormat="1" ht="12.9" hidden="1"/>
    <row r="55" s="155" customFormat="1" ht="12.9" hidden="1"/>
    <row r="56" s="155" customFormat="1" ht="12.9" hidden="1"/>
    <row r="57" s="155" customFormat="1" ht="12.9" hidden="1"/>
    <row r="58" s="155" customFormat="1" ht="12.9" hidden="1"/>
    <row r="59" s="155" customFormat="1" ht="12.9" hidden="1"/>
    <row r="60" s="155" customFormat="1" ht="12.9" hidden="1"/>
    <row r="61" s="155" customFormat="1" ht="12.9" hidden="1"/>
    <row r="62" s="155" customFormat="1" ht="12.9" hidden="1"/>
    <row r="63" s="155" customFormat="1" ht="12.9" hidden="1"/>
    <row r="64" s="155" customFormat="1" ht="12.9" hidden="1"/>
    <row r="65" s="155" customFormat="1" ht="12.9" hidden="1"/>
    <row r="66" s="155" customFormat="1" ht="12.9" hidden="1"/>
    <row r="67" s="155" customFormat="1" ht="12.9" hidden="1"/>
    <row r="68" s="155" customFormat="1" ht="12.9" hidden="1"/>
    <row r="69" s="155" customFormat="1" ht="12.9" hidden="1"/>
    <row r="70" s="155" customFormat="1" ht="12.9" hidden="1"/>
    <row r="71" s="155" customFormat="1" ht="12.9" hidden="1"/>
    <row r="72" s="155" customFormat="1" ht="12.9" hidden="1"/>
    <row r="73" s="155" customFormat="1" ht="12.9" hidden="1"/>
    <row r="74" s="155" customFormat="1" ht="12.9" hidden="1"/>
    <row r="75" s="155" customFormat="1" ht="12.9" hidden="1"/>
    <row r="76" s="155" customFormat="1" ht="12.9" hidden="1"/>
    <row r="77" s="155" customFormat="1" ht="12.9" hidden="1"/>
    <row r="78" s="155" customFormat="1" ht="12.9" hidden="1"/>
    <row r="79" s="155" customFormat="1" ht="12.9" hidden="1"/>
    <row r="80" s="155" customFormat="1" ht="12.9" hidden="1"/>
    <row r="81" s="155" customFormat="1" ht="12.9" hidden="1"/>
    <row r="82" s="155" customFormat="1" ht="12.9" hidden="1"/>
    <row r="83" s="155" customFormat="1" ht="12.9" hidden="1"/>
    <row r="84" s="155" customFormat="1" ht="12.9" hidden="1"/>
    <row r="85" s="155" customFormat="1" ht="12.9" hidden="1"/>
    <row r="86" s="155" customFormat="1" ht="12.9" hidden="1"/>
    <row r="87" s="155" customFormat="1" ht="12.9" hidden="1"/>
    <row r="88" s="155" customFormat="1" ht="12.9" hidden="1"/>
    <row r="89" s="155" customFormat="1" ht="12.9" hidden="1"/>
    <row r="90" s="155" customFormat="1" ht="12.9" hidden="1"/>
    <row r="91" s="155" customFormat="1" ht="12.9" hidden="1"/>
    <row r="92" s="155" customFormat="1" ht="12.9" hidden="1"/>
    <row r="93" s="155" customFormat="1" ht="12.9" hidden="1"/>
    <row r="94" s="155" customFormat="1" ht="12.9" hidden="1"/>
    <row r="95" s="155" customFormat="1" ht="12.9" hidden="1"/>
    <row r="96" s="155" customFormat="1" ht="12.9" hidden="1"/>
    <row r="97" s="155" customFormat="1" ht="12.9" hidden="1"/>
    <row r="98" s="155" customFormat="1" ht="12.9" hidden="1"/>
    <row r="99" s="155" customFormat="1" ht="12.9" hidden="1"/>
    <row r="100" s="155" customFormat="1" ht="12.9" hidden="1"/>
    <row r="101" s="155" customFormat="1" ht="12.9" hidden="1"/>
    <row r="102" s="155" customFormat="1" ht="12.9" hidden="1"/>
    <row r="103" s="155" customFormat="1" ht="12.9" hidden="1"/>
    <row r="104" s="155" customFormat="1" ht="12.9" hidden="1"/>
    <row r="105" s="155" customFormat="1" ht="12.9" hidden="1"/>
    <row r="106" s="155" customFormat="1" ht="12.9" hidden="1"/>
    <row r="107" s="155" customFormat="1" ht="12.9" hidden="1"/>
    <row r="108" s="155" customFormat="1" ht="12.9" hidden="1"/>
    <row r="113" s="155" customFormat="1" ht="12.9" hidden="1"/>
  </sheetData>
  <sheetProtection sheet="1" objects="1" scenarios="1" formatRows="0" insertRows="0" deleteRows="0" selectLockedCells="1"/>
  <dataValidations xWindow="476" yWindow="1162" count="2">
    <dataValidation type="list" allowBlank="1" showInputMessage="1" showErrorMessage="1" prompt="Seleccione una opción de la lista" sqref="D10:D20" xr:uid="{34651CF3-0739-45F1-B146-9BD78B93F7F0}">
      <formula1>Menu_Unidades</formula1>
    </dataValidation>
    <dataValidation type="list" allowBlank="1" showInputMessage="1" showErrorMessage="1" prompt="Seleccione una opción de la lista" sqref="C10:C20" xr:uid="{442FD79F-1D0A-4E3A-BDBB-924F74FF64A5}">
      <formula1>Menu_Cat_Mat</formula1>
    </dataValidation>
  </dataValidations>
  <pageMargins left="0.23622047244094491" right="0.23622047244094491" top="0.74803149606299213" bottom="0.74803149606299213" header="0.31496062992125984" footer="0.31496062992125984"/>
  <pageSetup scale="85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38DDB6-101D-405D-94F9-B8710A475449}">
  <sheetPr codeName="Hoja3"/>
  <dimension ref="A1:M26"/>
  <sheetViews>
    <sheetView showGridLines="0" showRowColHeaders="0" zoomScaleNormal="100" workbookViewId="0">
      <selection activeCell="C15" sqref="C15"/>
    </sheetView>
  </sheetViews>
  <sheetFormatPr baseColWidth="10" defaultColWidth="0" defaultRowHeight="13.2" customHeight="1" zeroHeight="1"/>
  <cols>
    <col min="1" max="1" width="2.1015625" style="1" customWidth="1"/>
    <col min="2" max="2" width="1.89453125" style="1" customWidth="1"/>
    <col min="3" max="3" width="30.1015625" style="1" customWidth="1"/>
    <col min="4" max="4" width="12.3125" style="1" customWidth="1"/>
    <col min="5" max="5" width="1.68359375" style="1" customWidth="1"/>
    <col min="6" max="6" width="26.3125" style="1" customWidth="1"/>
    <col min="7" max="7" width="16.41796875" style="1" customWidth="1"/>
    <col min="8" max="8" width="1.1015625" style="1" customWidth="1"/>
    <col min="9" max="9" width="1.89453125" style="1" customWidth="1"/>
    <col min="10" max="10" width="0.5234375" style="1" customWidth="1"/>
    <col min="11" max="11" width="2" style="1" customWidth="1"/>
    <col min="12" max="16384" width="9.1015625" style="1" hidden="1"/>
  </cols>
  <sheetData>
    <row r="1" spans="1:13" ht="12.9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</row>
    <row r="2" spans="1:13" ht="45" customHeight="1">
      <c r="A2" s="17"/>
      <c r="B2" s="17"/>
      <c r="C2" s="17"/>
      <c r="D2" s="17"/>
      <c r="E2" s="17"/>
      <c r="F2" s="17"/>
      <c r="G2" s="17"/>
      <c r="H2" s="17"/>
      <c r="I2" s="17"/>
      <c r="J2" s="182">
        <f>Información!E2</f>
        <v>0</v>
      </c>
      <c r="K2" s="17"/>
    </row>
    <row r="3" spans="1:13" ht="14.4">
      <c r="A3" s="17"/>
      <c r="B3" s="17"/>
      <c r="C3" s="19"/>
      <c r="D3" s="17"/>
      <c r="E3" s="17"/>
      <c r="F3" s="17"/>
      <c r="G3" s="17"/>
      <c r="H3" s="17"/>
      <c r="I3" s="17"/>
      <c r="J3" s="17"/>
      <c r="K3" s="17"/>
    </row>
    <row r="4" spans="1:13" ht="21" customHeight="1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</row>
    <row r="5" spans="1:13" ht="12.9">
      <c r="A5" s="17"/>
      <c r="B5" s="17"/>
      <c r="C5" s="17"/>
      <c r="D5" s="17"/>
      <c r="E5" s="17"/>
      <c r="F5" s="17"/>
      <c r="G5" s="17"/>
      <c r="H5" s="17"/>
      <c r="I5" s="17"/>
      <c r="J5" s="17"/>
      <c r="K5" s="17"/>
    </row>
    <row r="6" spans="1:13" ht="9.6" customHeight="1">
      <c r="A6" s="17"/>
      <c r="B6" s="2"/>
      <c r="C6" s="3"/>
      <c r="D6" s="3"/>
      <c r="E6" s="3"/>
      <c r="F6" s="3"/>
      <c r="G6" s="3"/>
      <c r="H6" s="3"/>
      <c r="I6" s="4"/>
      <c r="J6" s="16"/>
      <c r="K6" s="17"/>
      <c r="M6" s="5"/>
    </row>
    <row r="7" spans="1:13" ht="14.4">
      <c r="A7" s="17"/>
      <c r="B7" s="6"/>
      <c r="C7" s="7"/>
      <c r="D7" s="8"/>
      <c r="E7" s="8"/>
      <c r="F7" s="8"/>
      <c r="G7" s="8"/>
      <c r="H7" s="8"/>
      <c r="I7" s="9"/>
      <c r="J7" s="16"/>
      <c r="K7" s="17"/>
      <c r="M7" s="5"/>
    </row>
    <row r="8" spans="1:13" ht="7.95" customHeight="1">
      <c r="A8" s="17"/>
      <c r="B8" s="6"/>
      <c r="C8" s="8"/>
      <c r="D8" s="8"/>
      <c r="E8" s="8"/>
      <c r="F8" s="8"/>
      <c r="G8" s="8"/>
      <c r="H8" s="8"/>
      <c r="I8" s="9"/>
      <c r="J8" s="16"/>
      <c r="K8" s="17"/>
      <c r="M8" s="5"/>
    </row>
    <row r="9" spans="1:13" ht="13.8">
      <c r="A9" s="17"/>
      <c r="B9" s="6"/>
      <c r="C9" s="26" t="s">
        <v>10</v>
      </c>
      <c r="D9" s="8"/>
      <c r="E9" s="26" t="s">
        <v>11</v>
      </c>
      <c r="F9" s="26"/>
      <c r="G9" s="26"/>
      <c r="H9" s="26"/>
      <c r="I9" s="9"/>
      <c r="J9" s="16"/>
      <c r="K9" s="17"/>
      <c r="M9" s="5"/>
    </row>
    <row r="10" spans="1:13" ht="7.95" customHeight="1">
      <c r="A10" s="17"/>
      <c r="B10" s="6"/>
      <c r="C10" s="8"/>
      <c r="D10" s="8"/>
      <c r="E10" s="8"/>
      <c r="F10" s="8"/>
      <c r="G10" s="8"/>
      <c r="I10" s="9"/>
      <c r="J10" s="16"/>
      <c r="K10" s="17"/>
      <c r="M10" s="5"/>
    </row>
    <row r="11" spans="1:13" ht="12.9">
      <c r="A11" s="17"/>
      <c r="B11" s="6"/>
      <c r="C11" s="10" t="s">
        <v>12</v>
      </c>
      <c r="D11" s="8"/>
      <c r="E11" s="18" t="s">
        <v>13</v>
      </c>
      <c r="F11" s="18"/>
      <c r="G11" s="18"/>
      <c r="I11" s="9"/>
      <c r="J11" s="16"/>
      <c r="K11" s="17"/>
    </row>
    <row r="12" spans="1:13" ht="13.8">
      <c r="A12" s="17"/>
      <c r="B12" s="11"/>
      <c r="C12" s="35">
        <v>0</v>
      </c>
      <c r="E12" s="37" t="s">
        <v>14</v>
      </c>
      <c r="F12" s="95">
        <v>12000</v>
      </c>
      <c r="I12" s="9"/>
      <c r="J12" s="16"/>
      <c r="K12" s="17"/>
    </row>
    <row r="13" spans="1:13" ht="12.9">
      <c r="A13" s="17"/>
      <c r="B13" s="11"/>
      <c r="I13" s="9"/>
      <c r="J13" s="16"/>
      <c r="K13" s="17"/>
    </row>
    <row r="14" spans="1:13" ht="12.9">
      <c r="A14" s="17"/>
      <c r="B14" s="11"/>
      <c r="C14" s="18" t="s">
        <v>15</v>
      </c>
      <c r="E14" s="18" t="s">
        <v>16</v>
      </c>
      <c r="F14" s="18"/>
      <c r="G14" s="18"/>
      <c r="I14" s="9"/>
      <c r="J14" s="16"/>
      <c r="K14" s="17"/>
    </row>
    <row r="15" spans="1:13" ht="13.8">
      <c r="A15" s="17"/>
      <c r="B15" s="11"/>
      <c r="C15" s="36">
        <v>0</v>
      </c>
      <c r="E15" s="37" t="s">
        <v>14</v>
      </c>
      <c r="F15" s="95">
        <v>64515</v>
      </c>
      <c r="I15" s="9"/>
      <c r="J15" s="16"/>
      <c r="K15" s="17"/>
    </row>
    <row r="16" spans="1:13" ht="12.9">
      <c r="A16" s="17"/>
      <c r="B16" s="11"/>
      <c r="I16" s="9"/>
      <c r="J16" s="16"/>
      <c r="K16" s="17"/>
    </row>
    <row r="17" spans="1:11" ht="12.9">
      <c r="A17" s="17"/>
      <c r="B17" s="11"/>
      <c r="C17" s="18" t="s">
        <v>17</v>
      </c>
      <c r="E17" s="27"/>
      <c r="F17" s="27"/>
      <c r="G17" s="29"/>
      <c r="H17" s="29"/>
      <c r="I17" s="9"/>
      <c r="J17" s="16"/>
      <c r="K17" s="17"/>
    </row>
    <row r="18" spans="1:11" ht="13.8">
      <c r="A18" s="17"/>
      <c r="B18" s="11"/>
      <c r="C18" s="36">
        <v>2</v>
      </c>
      <c r="E18" s="27"/>
      <c r="F18" s="38" t="s">
        <v>18</v>
      </c>
      <c r="G18" s="29">
        <f>C12*F12+C15*F12</f>
        <v>0</v>
      </c>
      <c r="H18" s="30"/>
      <c r="I18" s="9"/>
      <c r="J18" s="16"/>
      <c r="K18" s="17"/>
    </row>
    <row r="19" spans="1:11" ht="13.8">
      <c r="A19" s="17"/>
      <c r="B19" s="11"/>
      <c r="E19" s="27"/>
      <c r="F19" s="48" t="s">
        <v>19</v>
      </c>
      <c r="G19" s="51">
        <f>C18*F15+C21*F15</f>
        <v>129030</v>
      </c>
      <c r="H19" s="30"/>
      <c r="I19" s="9"/>
      <c r="J19" s="16"/>
      <c r="K19" s="17"/>
    </row>
    <row r="20" spans="1:11" ht="16.2" customHeight="1">
      <c r="A20" s="17"/>
      <c r="B20" s="11"/>
      <c r="C20" s="18" t="s">
        <v>20</v>
      </c>
      <c r="E20" s="27"/>
      <c r="F20" s="39" t="s">
        <v>21</v>
      </c>
      <c r="G20" s="31">
        <f>SUM(G18:G19)</f>
        <v>129030</v>
      </c>
      <c r="H20" s="31"/>
      <c r="I20" s="9"/>
      <c r="J20" s="16"/>
      <c r="K20" s="17"/>
    </row>
    <row r="21" spans="1:11" ht="13.8">
      <c r="A21" s="17"/>
      <c r="B21" s="11"/>
      <c r="C21" s="36">
        <v>0</v>
      </c>
      <c r="E21" s="27"/>
      <c r="F21" s="28"/>
      <c r="G21" s="28"/>
      <c r="H21" s="28"/>
      <c r="I21" s="9"/>
      <c r="J21" s="16"/>
      <c r="K21" s="17"/>
    </row>
    <row r="22" spans="1:11" ht="12.9">
      <c r="A22" s="17"/>
      <c r="B22" s="13"/>
      <c r="C22" s="14"/>
      <c r="D22" s="14"/>
      <c r="E22" s="14"/>
      <c r="F22" s="14"/>
      <c r="G22" s="14"/>
      <c r="H22" s="14"/>
      <c r="I22" s="15"/>
      <c r="J22" s="16"/>
      <c r="K22" s="17"/>
    </row>
    <row r="23" spans="1:11" ht="3.75" customHeight="1">
      <c r="A23" s="17"/>
      <c r="B23" s="16"/>
      <c r="C23" s="16"/>
      <c r="D23" s="16"/>
      <c r="E23" s="16"/>
      <c r="F23" s="16"/>
      <c r="G23" s="16"/>
      <c r="H23" s="16"/>
      <c r="I23" s="16"/>
      <c r="J23" s="16"/>
      <c r="K23" s="17"/>
    </row>
    <row r="24" spans="1:11" ht="12.9">
      <c r="A24" s="17"/>
      <c r="B24" s="17"/>
      <c r="C24" s="17"/>
      <c r="D24" s="17"/>
      <c r="E24" s="17"/>
      <c r="F24" s="17"/>
      <c r="G24" s="17"/>
      <c r="H24" s="17"/>
      <c r="I24" s="17"/>
      <c r="J24" s="17"/>
      <c r="K24" s="17"/>
    </row>
    <row r="25" spans="1:11" ht="12.9">
      <c r="A25" s="17"/>
      <c r="B25" s="17"/>
      <c r="C25" s="17"/>
      <c r="D25" s="17"/>
      <c r="E25" s="17"/>
      <c r="F25" s="17"/>
      <c r="G25" s="17"/>
      <c r="H25" s="17"/>
      <c r="I25" s="17"/>
      <c r="J25" s="17"/>
      <c r="K25" s="17"/>
    </row>
    <row r="26" spans="1:11" ht="12.9">
      <c r="A26" s="17"/>
      <c r="B26" s="17"/>
      <c r="C26" s="17"/>
      <c r="D26" s="17"/>
      <c r="E26" s="17"/>
      <c r="F26" s="17"/>
      <c r="G26" s="17"/>
      <c r="H26" s="17"/>
      <c r="I26" s="17"/>
      <c r="J26" s="17"/>
      <c r="K26" s="17"/>
    </row>
  </sheetData>
  <sheetProtection sheet="1" selectLockedCells="1"/>
  <dataValidations count="1">
    <dataValidation type="whole" allowBlank="1" showInputMessage="1" showErrorMessage="1" sqref="C21 C18 C15 C12" xr:uid="{75DA2562-B5A5-4273-B9FA-ADDE7487CADC}">
      <formula1>0</formula1>
      <formula2>10000</formula2>
    </dataValidation>
  </dataValidations>
  <pageMargins left="0.23622047244094491" right="0.23622047244094491" top="0.74803149606299213" bottom="0.74803149606299213" header="0.31496062992125984" footer="0.31496062992125984"/>
  <pageSetup scale="8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Spinner 1">
              <controlPr defaultSize="0" autoPict="0">
                <anchor moveWithCells="1">
                  <from>
                    <xdr:col>2</xdr:col>
                    <xdr:colOff>2400300</xdr:colOff>
                    <xdr:row>11</xdr:row>
                    <xdr:rowOff>0</xdr:rowOff>
                  </from>
                  <to>
                    <xdr:col>3</xdr:col>
                    <xdr:colOff>182880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Spinner 2">
              <controlPr defaultSize="0" autoPict="0">
                <anchor moveWithCells="1">
                  <from>
                    <xdr:col>2</xdr:col>
                    <xdr:colOff>2407920</xdr:colOff>
                    <xdr:row>14</xdr:row>
                    <xdr:rowOff>7620</xdr:rowOff>
                  </from>
                  <to>
                    <xdr:col>3</xdr:col>
                    <xdr:colOff>175260</xdr:colOff>
                    <xdr:row>15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Spinner 3">
              <controlPr defaultSize="0" autoPict="0">
                <anchor moveWithCells="1">
                  <from>
                    <xdr:col>2</xdr:col>
                    <xdr:colOff>2415540</xdr:colOff>
                    <xdr:row>17</xdr:row>
                    <xdr:rowOff>7620</xdr:rowOff>
                  </from>
                  <to>
                    <xdr:col>3</xdr:col>
                    <xdr:colOff>167640</xdr:colOff>
                    <xdr:row>18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Spinner 4">
              <controlPr defaultSize="0" autoPict="0">
                <anchor moveWithCells="1">
                  <from>
                    <xdr:col>2</xdr:col>
                    <xdr:colOff>2407920</xdr:colOff>
                    <xdr:row>20</xdr:row>
                    <xdr:rowOff>0</xdr:rowOff>
                  </from>
                  <to>
                    <xdr:col>3</xdr:col>
                    <xdr:colOff>175260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F5ED6-49E7-41CD-8622-9288F33B6BC7}">
  <sheetPr codeName="Hoja4"/>
  <dimension ref="A1:O27"/>
  <sheetViews>
    <sheetView showGridLines="0" showRowColHeaders="0" topLeftCell="A2" zoomScaleNormal="100" workbookViewId="0">
      <selection activeCell="I11" sqref="I11"/>
    </sheetView>
  </sheetViews>
  <sheetFormatPr baseColWidth="10" defaultColWidth="0" defaultRowHeight="13.2" customHeight="1" zeroHeight="1"/>
  <cols>
    <col min="1" max="1" width="2.1015625" style="1" customWidth="1"/>
    <col min="2" max="2" width="1.89453125" style="1" customWidth="1"/>
    <col min="3" max="3" width="28.3125" style="1" customWidth="1"/>
    <col min="4" max="4" width="2.41796875" style="1" customWidth="1"/>
    <col min="5" max="5" width="11.41796875" style="1" customWidth="1"/>
    <col min="6" max="6" width="5.41796875" style="1" customWidth="1"/>
    <col min="7" max="7" width="1.5234375" style="1" customWidth="1"/>
    <col min="8" max="8" width="24.68359375" style="1" customWidth="1"/>
    <col min="9" max="9" width="12.3125" style="1" customWidth="1"/>
    <col min="10" max="10" width="2.41796875" style="1" bestFit="1" customWidth="1"/>
    <col min="11" max="11" width="1.89453125" style="1" customWidth="1"/>
    <col min="12" max="12" width="0.5234375" style="1" customWidth="1"/>
    <col min="13" max="13" width="2" style="1" customWidth="1"/>
    <col min="14" max="15" width="0" style="1" hidden="1" customWidth="1"/>
    <col min="16" max="16384" width="9.1015625" style="1" hidden="1"/>
  </cols>
  <sheetData>
    <row r="1" spans="1:15" ht="12.9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</row>
    <row r="2" spans="1:15" ht="45" customHeight="1">
      <c r="A2" s="17"/>
      <c r="B2" s="17"/>
      <c r="C2" s="17"/>
      <c r="D2" s="17"/>
      <c r="E2" s="17"/>
      <c r="F2" s="17"/>
      <c r="G2" s="17"/>
      <c r="H2" s="17"/>
      <c r="I2" s="17"/>
      <c r="J2" s="17"/>
      <c r="K2" s="182">
        <f>Información!E2</f>
        <v>0</v>
      </c>
      <c r="L2" s="17"/>
      <c r="M2" s="17"/>
    </row>
    <row r="3" spans="1:15" ht="14.4">
      <c r="A3" s="17"/>
      <c r="B3" s="17"/>
      <c r="C3" s="19"/>
      <c r="D3" s="19"/>
      <c r="E3" s="19"/>
      <c r="F3" s="17"/>
      <c r="G3" s="17"/>
      <c r="H3" s="17"/>
      <c r="I3" s="17"/>
      <c r="J3" s="17"/>
      <c r="K3" s="17"/>
      <c r="L3" s="17"/>
      <c r="M3" s="17"/>
    </row>
    <row r="4" spans="1:15" ht="21" customHeight="1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</row>
    <row r="5" spans="1:15" ht="12.9">
      <c r="A5" s="17"/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</row>
    <row r="6" spans="1:15" ht="9.6" customHeight="1">
      <c r="A6" s="17"/>
      <c r="B6" s="2"/>
      <c r="C6" s="3"/>
      <c r="D6" s="3"/>
      <c r="E6" s="3"/>
      <c r="F6" s="3"/>
      <c r="G6" s="3"/>
      <c r="H6" s="3"/>
      <c r="I6" s="3"/>
      <c r="J6" s="3"/>
      <c r="K6" s="4"/>
      <c r="L6" s="16"/>
      <c r="M6" s="17"/>
      <c r="O6" s="5"/>
    </row>
    <row r="7" spans="1:15" ht="14.4">
      <c r="A7" s="17"/>
      <c r="B7" s="6"/>
      <c r="C7" s="7"/>
      <c r="D7" s="7"/>
      <c r="E7" s="7"/>
      <c r="F7" s="8"/>
      <c r="G7" s="8"/>
      <c r="H7" s="8"/>
      <c r="I7" s="8"/>
      <c r="J7" s="8"/>
      <c r="K7" s="9"/>
      <c r="L7" s="16"/>
      <c r="M7" s="17"/>
      <c r="O7" s="5"/>
    </row>
    <row r="8" spans="1:15" ht="7.95" customHeight="1">
      <c r="A8" s="17"/>
      <c r="B8" s="6"/>
      <c r="C8" s="8"/>
      <c r="D8" s="8"/>
      <c r="E8" s="8"/>
      <c r="F8" s="8"/>
      <c r="G8" s="8"/>
      <c r="H8" s="8"/>
      <c r="I8" s="8"/>
      <c r="J8" s="8"/>
      <c r="K8" s="9"/>
      <c r="L8" s="16"/>
      <c r="M8" s="17"/>
      <c r="O8" s="5"/>
    </row>
    <row r="9" spans="1:15" ht="13.8">
      <c r="A9" s="17"/>
      <c r="B9" s="6"/>
      <c r="C9" s="26" t="s">
        <v>22</v>
      </c>
      <c r="D9" s="26"/>
      <c r="E9" s="26"/>
      <c r="F9" s="8"/>
      <c r="G9" s="26" t="s">
        <v>23</v>
      </c>
      <c r="H9" s="26"/>
      <c r="I9" s="26"/>
      <c r="J9" s="26"/>
      <c r="K9" s="9"/>
      <c r="L9" s="16"/>
      <c r="M9" s="17"/>
      <c r="O9" s="5"/>
    </row>
    <row r="10" spans="1:15" ht="7.95" customHeight="1">
      <c r="A10" s="17"/>
      <c r="B10" s="6"/>
      <c r="C10" s="8"/>
      <c r="D10" s="8"/>
      <c r="E10" s="8"/>
      <c r="F10" s="8"/>
      <c r="G10" s="8"/>
      <c r="H10" s="8"/>
      <c r="I10" s="8"/>
      <c r="J10" s="8"/>
      <c r="K10" s="9"/>
      <c r="L10" s="16"/>
      <c r="M10" s="17"/>
      <c r="O10" s="5"/>
    </row>
    <row r="11" spans="1:15" ht="13.8">
      <c r="A11" s="17"/>
      <c r="B11" s="6"/>
      <c r="C11" s="96" t="s">
        <v>24</v>
      </c>
      <c r="D11" s="42" t="s">
        <v>14</v>
      </c>
      <c r="E11" s="57">
        <v>120000</v>
      </c>
      <c r="F11" s="8"/>
      <c r="G11" s="41" t="s">
        <v>25</v>
      </c>
      <c r="H11" s="41"/>
      <c r="I11" s="59">
        <v>0</v>
      </c>
      <c r="J11" s="147" t="s">
        <v>44</v>
      </c>
      <c r="K11" s="9"/>
      <c r="L11" s="16"/>
      <c r="M11" s="17"/>
    </row>
    <row r="12" spans="1:15" ht="12.9">
      <c r="A12" s="17"/>
      <c r="B12" s="11"/>
      <c r="C12" s="96"/>
      <c r="D12" s="34"/>
      <c r="E12" s="58"/>
      <c r="K12" s="9"/>
      <c r="L12" s="16"/>
      <c r="M12" s="17"/>
    </row>
    <row r="13" spans="1:15" ht="13.8">
      <c r="A13" s="17"/>
      <c r="B13" s="11"/>
      <c r="C13" s="96" t="s">
        <v>26</v>
      </c>
      <c r="D13" s="42" t="s">
        <v>14</v>
      </c>
      <c r="E13" s="57">
        <v>20000</v>
      </c>
      <c r="H13" s="129" t="s">
        <v>32</v>
      </c>
      <c r="I13" s="130">
        <f>Materiales!G21</f>
        <v>1258690</v>
      </c>
      <c r="K13" s="9"/>
      <c r="L13" s="16"/>
      <c r="M13" s="17"/>
    </row>
    <row r="14" spans="1:15" ht="13.95" customHeight="1">
      <c r="A14" s="17"/>
      <c r="B14" s="11"/>
      <c r="C14" s="96"/>
      <c r="D14" s="34"/>
      <c r="E14" s="58"/>
      <c r="H14" s="131" t="s">
        <v>33</v>
      </c>
      <c r="I14" s="132">
        <f>'Mano de Obra'!G20</f>
        <v>129030</v>
      </c>
      <c r="K14" s="9"/>
      <c r="L14" s="16"/>
      <c r="M14" s="17"/>
    </row>
    <row r="15" spans="1:15" ht="13.8">
      <c r="A15" s="17"/>
      <c r="B15" s="11"/>
      <c r="C15" s="96" t="s">
        <v>27</v>
      </c>
      <c r="D15" s="42" t="s">
        <v>14</v>
      </c>
      <c r="E15" s="57"/>
      <c r="H15" s="133" t="s">
        <v>126</v>
      </c>
      <c r="I15" s="134">
        <f>I13+I14</f>
        <v>1387720</v>
      </c>
      <c r="K15" s="9"/>
      <c r="L15" s="16"/>
      <c r="M15" s="17"/>
    </row>
    <row r="16" spans="1:15" ht="13.2" customHeight="1">
      <c r="A16" s="17"/>
      <c r="B16" s="11"/>
      <c r="C16" s="96"/>
      <c r="D16" s="34"/>
      <c r="E16" s="58"/>
      <c r="H16" s="72" t="str">
        <f>"Gastos extras ("&amp;I11&amp;"%):"</f>
        <v>Gastos extras (0%):</v>
      </c>
      <c r="I16" s="91">
        <f>I15*I11/100</f>
        <v>0</v>
      </c>
      <c r="K16" s="9"/>
      <c r="L16" s="16"/>
      <c r="M16" s="17"/>
    </row>
    <row r="17" spans="1:13" ht="13.8">
      <c r="A17" s="17"/>
      <c r="B17" s="11"/>
      <c r="C17" s="96" t="s">
        <v>28</v>
      </c>
      <c r="D17" s="42" t="s">
        <v>14</v>
      </c>
      <c r="E17" s="57">
        <v>30000</v>
      </c>
      <c r="K17" s="9"/>
      <c r="L17" s="16"/>
      <c r="M17" s="17"/>
    </row>
    <row r="18" spans="1:13" ht="12.9">
      <c r="A18" s="17"/>
      <c r="B18" s="11"/>
      <c r="G18" s="27"/>
      <c r="H18" s="27"/>
      <c r="I18" s="29"/>
      <c r="J18" s="29"/>
      <c r="K18" s="9"/>
      <c r="L18" s="16"/>
      <c r="M18" s="17"/>
    </row>
    <row r="19" spans="1:13" ht="13.8">
      <c r="A19" s="17"/>
      <c r="B19" s="11"/>
      <c r="C19" s="26" t="s">
        <v>125</v>
      </c>
      <c r="G19" s="28"/>
      <c r="H19" s="49" t="s">
        <v>29</v>
      </c>
      <c r="I19" s="50">
        <f>E11*IF(Info!F12=TRUE, 1,0)+E13*IF(Info!G12=TRUE, 1,0)+E15*IF(Info!H12=TRUE, 1,0)+E17*IF(Info!I12=TRUE, 1,0)</f>
        <v>170000</v>
      </c>
      <c r="J19" s="29"/>
      <c r="K19" s="9"/>
      <c r="L19" s="16"/>
      <c r="M19" s="17"/>
    </row>
    <row r="20" spans="1:13" ht="13.8">
      <c r="A20" s="17"/>
      <c r="B20" s="11"/>
      <c r="C20" s="171" t="s">
        <v>157</v>
      </c>
      <c r="D20" s="172"/>
      <c r="E20" s="181"/>
      <c r="G20" s="28"/>
      <c r="H20" s="48" t="str">
        <f>"Gastos extras ("&amp;I11&amp;"%):"</f>
        <v>Gastos extras (0%):</v>
      </c>
      <c r="I20" s="51">
        <f>I16</f>
        <v>0</v>
      </c>
      <c r="J20" s="29"/>
      <c r="K20" s="9"/>
      <c r="L20" s="16"/>
      <c r="M20" s="17"/>
    </row>
    <row r="21" spans="1:13" ht="16.2" customHeight="1">
      <c r="A21" s="17"/>
      <c r="B21" s="11"/>
      <c r="C21" s="175"/>
      <c r="D21" s="176"/>
      <c r="E21" s="177"/>
      <c r="G21" s="28"/>
      <c r="H21" s="39" t="s">
        <v>30</v>
      </c>
      <c r="I21" s="31">
        <f>SUM(I19:I20)</f>
        <v>170000</v>
      </c>
      <c r="J21" s="29"/>
      <c r="K21" s="9"/>
      <c r="L21" s="16"/>
      <c r="M21" s="17"/>
    </row>
    <row r="22" spans="1:13" ht="13.8" customHeight="1">
      <c r="A22" s="17"/>
      <c r="B22" s="11"/>
      <c r="C22" s="178"/>
      <c r="D22" s="179"/>
      <c r="E22" s="180"/>
      <c r="G22" s="28"/>
      <c r="H22" s="28"/>
      <c r="I22" s="28"/>
      <c r="J22" s="29"/>
      <c r="K22" s="9"/>
      <c r="L22" s="16"/>
      <c r="M22" s="17"/>
    </row>
    <row r="23" spans="1:13" ht="12.9">
      <c r="A23" s="17"/>
      <c r="B23" s="13"/>
      <c r="C23" s="14"/>
      <c r="D23" s="14"/>
      <c r="E23" s="14"/>
      <c r="F23" s="14"/>
      <c r="G23" s="14"/>
      <c r="H23" s="14"/>
      <c r="I23" s="14"/>
      <c r="J23" s="14"/>
      <c r="K23" s="15"/>
      <c r="L23" s="16"/>
      <c r="M23" s="17"/>
    </row>
    <row r="24" spans="1:13" ht="3.75" customHeight="1">
      <c r="A24" s="17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7"/>
    </row>
    <row r="25" spans="1:13" ht="12.9">
      <c r="A25" s="17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</row>
    <row r="26" spans="1:13" ht="12.9">
      <c r="A26" s="17"/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</row>
    <row r="27" spans="1:13" ht="12.9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</row>
  </sheetData>
  <sheetProtection sheet="1" selectLockedCells="1"/>
  <pageMargins left="0.23622047244094491" right="0.23622047244094491" top="0.74803149606299213" bottom="0.74803149606299213" header="0.31496062992125984" footer="0.31496062992125984"/>
  <pageSetup scale="8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defaultSize="0" autoFill="0" autoLine="0" autoPict="0">
                <anchor moveWithCells="1">
                  <from>
                    <xdr:col>2</xdr:col>
                    <xdr:colOff>68580</xdr:colOff>
                    <xdr:row>9</xdr:row>
                    <xdr:rowOff>53340</xdr:rowOff>
                  </from>
                  <to>
                    <xdr:col>2</xdr:col>
                    <xdr:colOff>297180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defaultSize="0" autoFill="0" autoLine="0" autoPict="0">
                <anchor moveWithCells="1">
                  <from>
                    <xdr:col>2</xdr:col>
                    <xdr:colOff>68580</xdr:colOff>
                    <xdr:row>11</xdr:row>
                    <xdr:rowOff>129540</xdr:rowOff>
                  </from>
                  <to>
                    <xdr:col>2</xdr:col>
                    <xdr:colOff>297180</xdr:colOff>
                    <xdr:row>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heck Box 3">
              <controlPr defaultSize="0" autoFill="0" autoLine="0" autoPict="0">
                <anchor moveWithCells="1">
                  <from>
                    <xdr:col>2</xdr:col>
                    <xdr:colOff>68580</xdr:colOff>
                    <xdr:row>13</xdr:row>
                    <xdr:rowOff>129540</xdr:rowOff>
                  </from>
                  <to>
                    <xdr:col>2</xdr:col>
                    <xdr:colOff>297180</xdr:colOff>
                    <xdr:row>15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Check Box 4">
              <controlPr defaultSize="0" autoFill="0" autoLine="0" autoPict="0">
                <anchor moveWithCells="1">
                  <from>
                    <xdr:col>2</xdr:col>
                    <xdr:colOff>68580</xdr:colOff>
                    <xdr:row>15</xdr:row>
                    <xdr:rowOff>129540</xdr:rowOff>
                  </from>
                  <to>
                    <xdr:col>2</xdr:col>
                    <xdr:colOff>297180</xdr:colOff>
                    <xdr:row>17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7F19B-D2BA-45AC-997A-C34273C908DB}">
  <sheetPr codeName="Hoja5"/>
  <dimension ref="A1:P24"/>
  <sheetViews>
    <sheetView showGridLines="0" showRowColHeaders="0" zoomScaleNormal="100" workbookViewId="0">
      <selection activeCell="E11" sqref="E11"/>
    </sheetView>
  </sheetViews>
  <sheetFormatPr baseColWidth="10" defaultColWidth="0" defaultRowHeight="13.2" customHeight="1" zeroHeight="1"/>
  <cols>
    <col min="1" max="1" width="2.1015625" style="1" customWidth="1"/>
    <col min="2" max="2" width="1.89453125" style="1" customWidth="1"/>
    <col min="3" max="3" width="29.5234375" style="1" customWidth="1"/>
    <col min="4" max="4" width="3.1015625" style="1" customWidth="1"/>
    <col min="5" max="5" width="9.1015625" style="1" customWidth="1"/>
    <col min="6" max="6" width="2.41796875" style="1" bestFit="1" customWidth="1"/>
    <col min="7" max="8" width="2.1015625" style="1" customWidth="1"/>
    <col min="9" max="9" width="24.41796875" style="1" customWidth="1"/>
    <col min="10" max="10" width="13.68359375" style="1" customWidth="1"/>
    <col min="11" max="12" width="1.89453125" style="1" customWidth="1"/>
    <col min="13" max="13" width="0.5234375" style="1" customWidth="1"/>
    <col min="14" max="14" width="2" style="1" customWidth="1"/>
    <col min="15" max="16" width="0" style="1" hidden="1" customWidth="1"/>
    <col min="17" max="16384" width="9.1015625" style="1" hidden="1"/>
  </cols>
  <sheetData>
    <row r="1" spans="1:16" ht="12.9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</row>
    <row r="2" spans="1:16" ht="45" customHeight="1">
      <c r="A2" s="17"/>
      <c r="B2" s="17"/>
      <c r="C2" s="17"/>
      <c r="D2" s="17"/>
      <c r="E2" s="17"/>
      <c r="F2" s="17"/>
      <c r="G2" s="17"/>
      <c r="H2" s="17"/>
      <c r="I2" s="17"/>
      <c r="J2" s="17"/>
      <c r="K2" s="17"/>
      <c r="L2" s="182">
        <f>Información!E2</f>
        <v>0</v>
      </c>
      <c r="M2" s="17"/>
      <c r="N2" s="17"/>
    </row>
    <row r="3" spans="1:16" ht="14.4">
      <c r="A3" s="17"/>
      <c r="B3" s="17"/>
      <c r="C3" s="19"/>
      <c r="D3" s="19"/>
      <c r="E3" s="19"/>
      <c r="F3" s="19"/>
      <c r="G3" s="17"/>
      <c r="H3" s="17"/>
      <c r="I3" s="17"/>
      <c r="J3" s="17"/>
      <c r="K3" s="17"/>
      <c r="L3" s="17"/>
      <c r="M3" s="17"/>
      <c r="N3" s="17"/>
    </row>
    <row r="4" spans="1:16" ht="21" customHeight="1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</row>
    <row r="5" spans="1:16" ht="12.9">
      <c r="A5" s="17"/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</row>
    <row r="6" spans="1:16" ht="9.6" customHeight="1">
      <c r="A6" s="17"/>
      <c r="B6" s="2"/>
      <c r="C6" s="3"/>
      <c r="D6" s="3"/>
      <c r="E6" s="3"/>
      <c r="F6" s="3"/>
      <c r="G6" s="3"/>
      <c r="H6" s="3"/>
      <c r="I6" s="3"/>
      <c r="J6" s="3"/>
      <c r="K6" s="3"/>
      <c r="L6" s="4"/>
      <c r="M6" s="16"/>
      <c r="N6" s="17"/>
      <c r="P6" s="5"/>
    </row>
    <row r="7" spans="1:16" ht="14.4">
      <c r="A7" s="17"/>
      <c r="B7" s="6"/>
      <c r="C7" s="7"/>
      <c r="D7" s="7"/>
      <c r="E7" s="7"/>
      <c r="F7" s="7"/>
      <c r="G7" s="8"/>
      <c r="H7" s="8"/>
      <c r="I7" s="8"/>
      <c r="J7" s="8"/>
      <c r="K7" s="8"/>
      <c r="L7" s="9"/>
      <c r="M7" s="16"/>
      <c r="N7" s="17"/>
      <c r="P7" s="5"/>
    </row>
    <row r="8" spans="1:16" ht="7.95" customHeight="1">
      <c r="A8" s="17"/>
      <c r="B8" s="6"/>
      <c r="C8" s="8"/>
      <c r="D8" s="8"/>
      <c r="E8" s="8"/>
      <c r="F8" s="8"/>
      <c r="G8" s="8"/>
      <c r="H8" s="8"/>
      <c r="I8" s="8"/>
      <c r="J8" s="8"/>
      <c r="K8" s="8"/>
      <c r="L8" s="9"/>
      <c r="M8" s="16"/>
      <c r="N8" s="17"/>
      <c r="P8" s="5"/>
    </row>
    <row r="9" spans="1:16" ht="13.8">
      <c r="A9" s="17"/>
      <c r="B9" s="6"/>
      <c r="C9" s="26" t="s">
        <v>137</v>
      </c>
      <c r="D9" s="26"/>
      <c r="E9" s="26"/>
      <c r="F9" s="26"/>
      <c r="G9" s="8"/>
      <c r="H9" s="8"/>
      <c r="I9" s="26" t="s">
        <v>31</v>
      </c>
      <c r="J9" s="26"/>
      <c r="K9" s="26"/>
      <c r="L9" s="9"/>
      <c r="M9" s="16"/>
      <c r="N9" s="17"/>
      <c r="P9" s="5"/>
    </row>
    <row r="10" spans="1:16" ht="7.95" customHeight="1">
      <c r="A10" s="17"/>
      <c r="B10" s="6"/>
      <c r="G10" s="8"/>
      <c r="H10" s="8"/>
      <c r="I10" s="8"/>
      <c r="J10" s="8"/>
      <c r="K10" s="8"/>
      <c r="L10" s="9"/>
      <c r="M10" s="16"/>
      <c r="N10" s="17"/>
      <c r="P10" s="5"/>
    </row>
    <row r="11" spans="1:16" ht="13.8">
      <c r="A11" s="17"/>
      <c r="B11" s="6"/>
      <c r="C11" s="55" t="s">
        <v>136</v>
      </c>
      <c r="E11" s="53">
        <v>100</v>
      </c>
      <c r="F11" s="1" t="s">
        <v>44</v>
      </c>
      <c r="G11" s="8"/>
      <c r="H11" s="27"/>
      <c r="I11" s="27"/>
      <c r="J11" s="29"/>
      <c r="K11" s="27"/>
      <c r="L11" s="9"/>
      <c r="M11" s="16"/>
      <c r="N11" s="17"/>
    </row>
    <row r="12" spans="1:16" ht="13.8">
      <c r="A12" s="17"/>
      <c r="B12" s="11"/>
      <c r="C12" s="55"/>
      <c r="E12" s="54"/>
      <c r="H12" s="27"/>
      <c r="I12" s="33" t="s">
        <v>32</v>
      </c>
      <c r="J12" s="29">
        <f>Materiales!G21</f>
        <v>1258690</v>
      </c>
      <c r="K12" s="27"/>
      <c r="L12" s="9"/>
      <c r="M12" s="16"/>
      <c r="N12" s="17"/>
    </row>
    <row r="13" spans="1:16" ht="13.8">
      <c r="A13" s="17"/>
      <c r="B13" s="11"/>
      <c r="C13" s="55"/>
      <c r="E13" s="54"/>
      <c r="H13" s="27"/>
      <c r="I13" s="33" t="s">
        <v>33</v>
      </c>
      <c r="J13" s="29">
        <f>'Mano de Obra'!G20</f>
        <v>129030</v>
      </c>
      <c r="K13" s="27"/>
      <c r="L13" s="9"/>
      <c r="M13" s="16"/>
      <c r="N13" s="17"/>
    </row>
    <row r="14" spans="1:16" ht="13.8">
      <c r="A14" s="17"/>
      <c r="B14" s="11"/>
      <c r="C14" s="55"/>
      <c r="H14" s="27"/>
      <c r="I14" s="33" t="s">
        <v>34</v>
      </c>
      <c r="J14" s="29">
        <f>Costos!I21</f>
        <v>170000</v>
      </c>
      <c r="K14" s="27"/>
      <c r="L14" s="9"/>
      <c r="M14" s="16"/>
      <c r="N14" s="17"/>
    </row>
    <row r="15" spans="1:16" ht="14.4">
      <c r="A15" s="17"/>
      <c r="B15" s="11"/>
      <c r="C15" s="55"/>
      <c r="H15" s="27"/>
      <c r="I15" s="32" t="s">
        <v>35</v>
      </c>
      <c r="J15" s="31">
        <f>SUM(J12:J14)</f>
        <v>1557720</v>
      </c>
      <c r="K15" s="27"/>
      <c r="L15" s="9"/>
      <c r="M15" s="16"/>
      <c r="N15" s="17"/>
    </row>
    <row r="16" spans="1:16" ht="13.8">
      <c r="A16" s="17"/>
      <c r="B16" s="11"/>
      <c r="C16" s="55" t="s">
        <v>61</v>
      </c>
      <c r="D16" s="52" t="s">
        <v>14</v>
      </c>
      <c r="E16" s="53"/>
      <c r="H16" s="27"/>
      <c r="I16" s="33" t="str">
        <f>"Utilidad ("&amp;Mrgn&amp;"%)"</f>
        <v>Utilidad (100%)</v>
      </c>
      <c r="J16" s="30">
        <f>J15*E11/100</f>
        <v>1557720</v>
      </c>
      <c r="K16" s="27"/>
      <c r="L16" s="9"/>
      <c r="M16" s="16"/>
      <c r="N16" s="17"/>
    </row>
    <row r="17" spans="1:14" ht="13.8">
      <c r="A17" s="17"/>
      <c r="B17" s="11"/>
      <c r="C17" s="56" t="s">
        <v>62</v>
      </c>
      <c r="H17" s="27"/>
      <c r="I17" s="33" t="s">
        <v>36</v>
      </c>
      <c r="J17" s="30">
        <f>E16</f>
        <v>0</v>
      </c>
      <c r="K17" s="27"/>
      <c r="L17" s="9"/>
      <c r="M17" s="16"/>
      <c r="N17" s="17"/>
    </row>
    <row r="18" spans="1:14" ht="16.2" customHeight="1">
      <c r="A18" s="17"/>
      <c r="B18" s="11"/>
      <c r="H18" s="27"/>
      <c r="I18" s="108" t="s">
        <v>37</v>
      </c>
      <c r="J18" s="109">
        <f>SUM(J15:J17)</f>
        <v>3115440</v>
      </c>
      <c r="K18" s="27"/>
      <c r="L18" s="9"/>
      <c r="M18" s="16"/>
      <c r="N18" s="17"/>
    </row>
    <row r="19" spans="1:14" ht="12.9">
      <c r="A19" s="17"/>
      <c r="B19" s="11"/>
      <c r="H19" s="27"/>
      <c r="I19" s="28"/>
      <c r="J19" s="28"/>
      <c r="K19" s="27"/>
      <c r="L19" s="9"/>
      <c r="M19" s="16"/>
      <c r="N19" s="17"/>
    </row>
    <row r="20" spans="1:14" ht="12.9">
      <c r="A20" s="17"/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5"/>
      <c r="M20" s="16"/>
      <c r="N20" s="17"/>
    </row>
    <row r="21" spans="1:14" ht="3.75" customHeight="1">
      <c r="A21" s="17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7"/>
    </row>
    <row r="22" spans="1:14" ht="12.9">
      <c r="A22" s="17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</row>
    <row r="23" spans="1:14" ht="12.9">
      <c r="A23" s="17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</row>
    <row r="24" spans="1:14" ht="12.9">
      <c r="A24" s="17"/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</row>
  </sheetData>
  <sheetProtection sheet="1" objects="1" scenarios="1" selectLockedCells="1"/>
  <pageMargins left="0.23622047244094491" right="0.23622047244094491" top="0.74803149606299213" bottom="0.74803149606299213" header="0.31496062992125984" footer="0.31496062992125984"/>
  <pageSetup scale="85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185EA-AB10-442E-B125-B97A2A86344F}">
  <sheetPr codeName="Hoja6"/>
  <dimension ref="A1:O597"/>
  <sheetViews>
    <sheetView showGridLines="0" showRowColHeaders="0" tabSelected="1" topLeftCell="A48" zoomScaleNormal="100" zoomScaleSheetLayoutView="115" workbookViewId="0">
      <selection activeCell="C9" sqref="C9"/>
    </sheetView>
  </sheetViews>
  <sheetFormatPr baseColWidth="10" defaultColWidth="0" defaultRowHeight="13.2" customHeight="1" zeroHeight="1"/>
  <cols>
    <col min="1" max="1" width="2.1015625" style="1" customWidth="1"/>
    <col min="2" max="3" width="1.41796875" style="1" customWidth="1"/>
    <col min="4" max="4" width="1.3125" style="1" customWidth="1"/>
    <col min="5" max="5" width="35.1015625" style="1" customWidth="1"/>
    <col min="6" max="6" width="9.89453125" style="1" customWidth="1"/>
    <col min="7" max="7" width="12.7890625" style="1" customWidth="1"/>
    <col min="8" max="8" width="9.89453125" style="1" customWidth="1"/>
    <col min="9" max="9" width="16.1015625" style="1" bestFit="1" customWidth="1"/>
    <col min="10" max="10" width="2.41796875" style="1" customWidth="1"/>
    <col min="11" max="11" width="1.3125" style="1" customWidth="1"/>
    <col min="12" max="12" width="0.5234375" style="1" customWidth="1"/>
    <col min="13" max="13" width="2" style="1" customWidth="1"/>
    <col min="14" max="15" width="0" style="1" hidden="1" customWidth="1"/>
    <col min="16" max="16384" width="9.1015625" style="1" hidden="1"/>
  </cols>
  <sheetData>
    <row r="1" spans="1:15" ht="12.9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</row>
    <row r="2" spans="1:15" ht="45" customHeight="1">
      <c r="A2" s="17"/>
      <c r="B2" s="17"/>
      <c r="C2" s="17"/>
      <c r="D2" s="17"/>
      <c r="E2" s="17"/>
      <c r="F2" s="17"/>
      <c r="G2" s="17"/>
      <c r="H2" s="17"/>
      <c r="I2" s="17"/>
      <c r="J2" s="17"/>
      <c r="K2" s="182">
        <f>Información!E2</f>
        <v>0</v>
      </c>
      <c r="L2" s="17"/>
      <c r="M2" s="17"/>
    </row>
    <row r="3" spans="1:15" ht="14.4">
      <c r="A3" s="17"/>
      <c r="B3" s="17"/>
      <c r="C3" s="19"/>
      <c r="D3" s="19"/>
      <c r="E3" s="19"/>
      <c r="F3" s="19"/>
      <c r="G3" s="17"/>
      <c r="H3" s="17"/>
      <c r="I3" s="17"/>
      <c r="J3" s="17"/>
      <c r="K3" s="17"/>
      <c r="L3" s="17"/>
      <c r="M3" s="17"/>
    </row>
    <row r="4" spans="1:15" ht="21" customHeight="1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</row>
    <row r="5" spans="1:15" ht="12.9">
      <c r="A5" s="17"/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</row>
    <row r="6" spans="1:15" ht="12.9">
      <c r="A6" s="17"/>
      <c r="B6" s="2"/>
      <c r="C6" s="3"/>
      <c r="D6" s="3"/>
      <c r="E6" s="3"/>
      <c r="F6" s="3"/>
      <c r="G6" s="3"/>
      <c r="H6" s="3"/>
      <c r="I6" s="3"/>
      <c r="J6" s="3"/>
      <c r="K6" s="4"/>
      <c r="L6" s="16"/>
      <c r="M6" s="17"/>
      <c r="O6" s="5"/>
    </row>
    <row r="7" spans="1:15" ht="14.4">
      <c r="A7" s="17"/>
      <c r="B7" s="6"/>
      <c r="C7" s="7"/>
      <c r="D7" s="7"/>
      <c r="E7" s="7"/>
      <c r="F7" s="7"/>
      <c r="G7" s="8"/>
      <c r="H7" s="8"/>
      <c r="I7" s="8"/>
      <c r="J7" s="8"/>
      <c r="K7" s="9"/>
      <c r="L7" s="16"/>
      <c r="M7" s="17"/>
      <c r="O7" s="5"/>
    </row>
    <row r="8" spans="1:15" ht="9.6" customHeight="1">
      <c r="A8" s="17"/>
      <c r="B8" s="6"/>
      <c r="C8" s="8"/>
      <c r="D8" s="8"/>
      <c r="E8" s="8"/>
      <c r="F8" s="8"/>
      <c r="G8" s="8"/>
      <c r="H8" s="8"/>
      <c r="I8" s="8"/>
      <c r="J8" s="8"/>
      <c r="K8" s="9"/>
      <c r="L8" s="16"/>
      <c r="M8" s="17"/>
      <c r="O8" s="5"/>
    </row>
    <row r="9" spans="1:15" ht="5.4" customHeight="1">
      <c r="A9" s="17"/>
      <c r="B9" s="6"/>
      <c r="C9" s="135"/>
      <c r="D9" s="136"/>
      <c r="E9" s="136"/>
      <c r="F9" s="136"/>
      <c r="G9" s="137"/>
      <c r="H9" s="136"/>
      <c r="I9" s="136"/>
      <c r="J9" s="138"/>
      <c r="K9" s="9"/>
      <c r="L9" s="16"/>
      <c r="M9" s="17"/>
      <c r="O9" s="5"/>
    </row>
    <row r="10" spans="1:15" ht="18.3">
      <c r="A10" s="17"/>
      <c r="B10" s="6"/>
      <c r="C10" s="139"/>
      <c r="D10" s="104" t="s">
        <v>105</v>
      </c>
      <c r="E10" s="103"/>
      <c r="F10" s="103"/>
      <c r="G10" s="103"/>
      <c r="H10" s="103"/>
      <c r="I10" s="183" t="str">
        <f>"Fecha: "&amp;TEXT(Información!E13,"dd/mm/aaaa")</f>
        <v>Fecha: 00/01/sábado</v>
      </c>
      <c r="J10" s="140"/>
      <c r="K10" s="9"/>
      <c r="L10" s="16"/>
      <c r="M10" s="17"/>
      <c r="O10" s="5"/>
    </row>
    <row r="11" spans="1:15" ht="15.6">
      <c r="A11" s="17"/>
      <c r="B11" s="6"/>
      <c r="C11" s="139"/>
      <c r="D11" s="105" t="str">
        <f>Información!C13</f>
        <v>Rodrigo Barria, Palillaje, escritorio ,arturito, archivador abierto</v>
      </c>
      <c r="E11" s="103"/>
      <c r="F11" s="103"/>
      <c r="G11" s="103"/>
      <c r="H11" s="183" t="s">
        <v>111</v>
      </c>
      <c r="I11" s="185">
        <v>324</v>
      </c>
      <c r="J11" s="140"/>
      <c r="K11" s="9"/>
      <c r="L11" s="16"/>
      <c r="M11" s="17"/>
    </row>
    <row r="12" spans="1:15" ht="5.4" customHeight="1">
      <c r="A12" s="17"/>
      <c r="B12" s="11"/>
      <c r="C12" s="141"/>
      <c r="D12" s="142"/>
      <c r="E12" s="142"/>
      <c r="F12" s="142"/>
      <c r="G12" s="142"/>
      <c r="H12" s="142"/>
      <c r="I12" s="142"/>
      <c r="J12" s="143"/>
      <c r="K12" s="9"/>
      <c r="L12" s="16"/>
      <c r="M12" s="17"/>
    </row>
    <row r="13" spans="1:15" ht="5.4" customHeight="1">
      <c r="A13" s="17"/>
      <c r="B13" s="11"/>
      <c r="C13" s="112"/>
      <c r="D13" s="113"/>
      <c r="E13" s="113"/>
      <c r="F13" s="113"/>
      <c r="G13" s="113"/>
      <c r="H13" s="113"/>
      <c r="I13" s="113"/>
      <c r="J13" s="114"/>
      <c r="K13" s="9"/>
      <c r="L13" s="16"/>
      <c r="M13" s="17"/>
    </row>
    <row r="14" spans="1:15" ht="19.2" customHeight="1">
      <c r="A14" s="17"/>
      <c r="B14" s="11"/>
      <c r="C14" s="115"/>
      <c r="D14" s="116" t="s">
        <v>112</v>
      </c>
      <c r="E14" s="117"/>
      <c r="F14" s="117"/>
      <c r="G14" s="116" t="s">
        <v>113</v>
      </c>
      <c r="H14" s="118"/>
      <c r="I14" s="118"/>
      <c r="J14" s="119"/>
      <c r="K14" s="9"/>
      <c r="L14" s="16"/>
      <c r="M14" s="17"/>
    </row>
    <row r="15" spans="1:15" ht="16.8" customHeight="1">
      <c r="A15" s="17"/>
      <c r="B15" s="11"/>
      <c r="C15" s="115"/>
      <c r="D15" s="120" t="str">
        <f>"Cliente:  "&amp;IF(ISTEXT(Información!C10),Información!C10,"No especificado")</f>
        <v>Cliente:  Felipe Acorssi</v>
      </c>
      <c r="E15" s="121" t="str">
        <f>"Cliente:  "&amp;IF(ISTEXT(Información!E10),Información!C10," No especificado")</f>
        <v>Cliente:  Felipe Acorssi</v>
      </c>
      <c r="F15" s="121"/>
      <c r="G15" s="122" t="str">
        <f>"Tipo de Mueble:  "&amp;IF(ISTEXT(Información!E10),Información!E10," No especificado")</f>
        <v>Tipo de Mueble:  Escritorio</v>
      </c>
      <c r="H15" s="123"/>
      <c r="I15" s="118"/>
      <c r="J15" s="119"/>
      <c r="K15" s="9"/>
      <c r="L15" s="16"/>
      <c r="M15" s="17"/>
    </row>
    <row r="16" spans="1:15" ht="14.4">
      <c r="A16" s="17"/>
      <c r="B16" s="11"/>
      <c r="C16" s="115"/>
      <c r="D16" s="120" t="str">
        <f>"Ubicación:   "&amp;IF(ISTEXT(Información!C16),Información!C16,"No especificada")</f>
        <v>Ubicación:   la cascada 81 Barrio Laduna,Colina, santiago</v>
      </c>
      <c r="E16" s="121" t="str">
        <f>"Ubicación:  "&amp;IF(ISTEXT(Información!E10),Información!C16," No especificado")</f>
        <v>Ubicación:  la cascada 81 Barrio Laduna,Colina, santiago</v>
      </c>
      <c r="F16" s="121"/>
      <c r="G16" s="122" t="str" cm="1">
        <f t="array" ref="G16">"Incluye Instalación:  "&amp;IF(TR_Info[Incluir_inst],"Sí", "No")</f>
        <v>Incluye Instalación:  Sí</v>
      </c>
      <c r="H16" s="123"/>
      <c r="I16" s="118"/>
      <c r="J16" s="119"/>
      <c r="K16" s="9"/>
      <c r="L16" s="16"/>
      <c r="M16" s="17"/>
    </row>
    <row r="17" spans="1:13" ht="5.4" customHeight="1">
      <c r="A17" s="17"/>
      <c r="B17" s="11"/>
      <c r="C17" s="124"/>
      <c r="D17" s="125"/>
      <c r="E17" s="125"/>
      <c r="F17" s="125"/>
      <c r="G17" s="125"/>
      <c r="H17" s="125"/>
      <c r="I17" s="125"/>
      <c r="J17" s="126"/>
      <c r="K17" s="9"/>
      <c r="L17" s="16"/>
      <c r="M17" s="17"/>
    </row>
    <row r="18" spans="1:13" ht="12.9">
      <c r="A18" s="17"/>
      <c r="B18" s="11"/>
      <c r="C18" s="68"/>
      <c r="D18" s="69"/>
      <c r="E18" s="69"/>
      <c r="F18" s="69"/>
      <c r="G18" s="69"/>
      <c r="H18" s="69"/>
      <c r="I18" s="69"/>
      <c r="J18" s="70"/>
      <c r="K18" s="9"/>
      <c r="L18" s="16"/>
      <c r="M18" s="17"/>
    </row>
    <row r="19" spans="1:13" ht="14.4">
      <c r="A19" s="17"/>
      <c r="B19" s="11"/>
      <c r="C19" s="71"/>
      <c r="D19" s="102" t="s">
        <v>114</v>
      </c>
      <c r="E19" s="72"/>
      <c r="F19" s="72"/>
      <c r="G19" s="72"/>
      <c r="H19" s="72"/>
      <c r="I19" s="72"/>
      <c r="J19" s="73"/>
      <c r="K19" s="9"/>
      <c r="L19" s="16"/>
      <c r="M19" s="17"/>
    </row>
    <row r="20" spans="1:13" ht="5.4" customHeight="1">
      <c r="A20" s="17"/>
      <c r="B20" s="11"/>
      <c r="C20" s="71"/>
      <c r="D20" s="72"/>
      <c r="E20" s="72"/>
      <c r="F20" s="72"/>
      <c r="G20" s="72"/>
      <c r="H20" s="72"/>
      <c r="I20" s="72"/>
      <c r="J20" s="73"/>
      <c r="K20" s="9"/>
      <c r="L20" s="16"/>
      <c r="M20" s="17"/>
    </row>
    <row r="21" spans="1:13" ht="14.4">
      <c r="A21" s="17"/>
      <c r="B21" s="11"/>
      <c r="C21" s="71"/>
      <c r="D21" s="72"/>
      <c r="E21" s="127" t="s">
        <v>130</v>
      </c>
      <c r="F21" s="127" t="s">
        <v>75</v>
      </c>
      <c r="G21" s="168" t="s">
        <v>131</v>
      </c>
      <c r="H21" s="127" t="s">
        <v>77</v>
      </c>
      <c r="I21" s="168" t="s">
        <v>78</v>
      </c>
      <c r="J21" s="73"/>
      <c r="K21" s="9"/>
      <c r="L21" s="16"/>
      <c r="M21" s="17"/>
    </row>
    <row r="22" spans="1:13" s="155" customFormat="1" ht="12.9">
      <c r="A22" s="148"/>
      <c r="B22" s="149"/>
      <c r="C22" s="160"/>
      <c r="D22" s="161"/>
      <c r="E22" s="166" t="s">
        <v>142</v>
      </c>
      <c r="F22" s="161" t="s">
        <v>75</v>
      </c>
      <c r="G22" s="167">
        <v>51990</v>
      </c>
      <c r="H22" s="161">
        <v>7</v>
      </c>
      <c r="I22" s="167">
        <v>363930</v>
      </c>
      <c r="J22" s="164"/>
      <c r="K22" s="150"/>
      <c r="L22" s="151"/>
      <c r="M22" s="148"/>
    </row>
    <row r="23" spans="1:13" s="155" customFormat="1" ht="12.9">
      <c r="A23" s="148"/>
      <c r="B23" s="149"/>
      <c r="C23" s="160"/>
      <c r="D23" s="161"/>
      <c r="E23" s="166" t="s">
        <v>138</v>
      </c>
      <c r="F23" s="161" t="s">
        <v>75</v>
      </c>
      <c r="G23" s="167">
        <v>66590</v>
      </c>
      <c r="H23" s="161">
        <v>3</v>
      </c>
      <c r="I23" s="167">
        <v>199770</v>
      </c>
      <c r="J23" s="164"/>
      <c r="K23" s="150"/>
      <c r="L23" s="151"/>
      <c r="M23" s="148"/>
    </row>
    <row r="24" spans="1:13" s="155" customFormat="1" ht="12.9">
      <c r="A24" s="148"/>
      <c r="B24" s="149"/>
      <c r="C24" s="160"/>
      <c r="D24" s="161"/>
      <c r="E24" s="166" t="s">
        <v>140</v>
      </c>
      <c r="F24" s="161" t="s">
        <v>75</v>
      </c>
      <c r="G24" s="167">
        <v>11300</v>
      </c>
      <c r="H24" s="161">
        <v>28</v>
      </c>
      <c r="I24" s="167">
        <v>316400</v>
      </c>
      <c r="J24" s="164"/>
      <c r="K24" s="150"/>
      <c r="L24" s="151"/>
      <c r="M24" s="148"/>
    </row>
    <row r="25" spans="1:13" s="155" customFormat="1" ht="12.9">
      <c r="A25" s="148"/>
      <c r="B25" s="149"/>
      <c r="C25" s="160"/>
      <c r="D25" s="161"/>
      <c r="E25" s="166" t="s">
        <v>141</v>
      </c>
      <c r="F25" s="161" t="s">
        <v>89</v>
      </c>
      <c r="G25" s="167">
        <v>900</v>
      </c>
      <c r="H25" s="161">
        <v>100</v>
      </c>
      <c r="I25" s="167">
        <v>90000</v>
      </c>
      <c r="J25" s="164"/>
      <c r="K25" s="150"/>
      <c r="L25" s="151"/>
      <c r="M25" s="148"/>
    </row>
    <row r="26" spans="1:13" s="155" customFormat="1" ht="12.9">
      <c r="A26" s="148"/>
      <c r="B26" s="149"/>
      <c r="C26" s="160"/>
      <c r="D26" s="161"/>
      <c r="E26" s="166" t="s">
        <v>139</v>
      </c>
      <c r="F26" s="161" t="s">
        <v>75</v>
      </c>
      <c r="G26" s="167">
        <v>2200</v>
      </c>
      <c r="H26" s="161">
        <v>4</v>
      </c>
      <c r="I26" s="167">
        <v>8800</v>
      </c>
      <c r="J26" s="164"/>
      <c r="K26" s="150"/>
      <c r="L26" s="151"/>
      <c r="M26" s="148"/>
    </row>
    <row r="27" spans="1:13" s="155" customFormat="1" ht="12.9">
      <c r="A27" s="148"/>
      <c r="B27" s="149"/>
      <c r="C27" s="160"/>
      <c r="D27" s="161"/>
      <c r="E27" s="166" t="s">
        <v>149</v>
      </c>
      <c r="F27" s="161" t="s">
        <v>75</v>
      </c>
      <c r="G27" s="167">
        <v>2000</v>
      </c>
      <c r="H27" s="161">
        <v>10</v>
      </c>
      <c r="I27" s="167">
        <v>20000</v>
      </c>
      <c r="J27" s="164"/>
      <c r="K27" s="150"/>
      <c r="L27" s="151"/>
      <c r="M27" s="148"/>
    </row>
    <row r="28" spans="1:13" s="155" customFormat="1" ht="12.9">
      <c r="A28" s="148"/>
      <c r="B28" s="149"/>
      <c r="C28" s="160"/>
      <c r="D28" s="161"/>
      <c r="E28" s="166" t="s">
        <v>163</v>
      </c>
      <c r="F28" s="161" t="s">
        <v>75</v>
      </c>
      <c r="G28" s="167">
        <v>22990</v>
      </c>
      <c r="H28" s="161">
        <v>6</v>
      </c>
      <c r="I28" s="167">
        <v>137940</v>
      </c>
      <c r="J28" s="164"/>
      <c r="K28" s="150"/>
      <c r="L28" s="151"/>
      <c r="M28" s="148"/>
    </row>
    <row r="29" spans="1:13" s="155" customFormat="1" ht="12.9">
      <c r="A29" s="148"/>
      <c r="B29" s="149"/>
      <c r="C29" s="160"/>
      <c r="D29" s="161"/>
      <c r="E29" s="166" t="s">
        <v>163</v>
      </c>
      <c r="F29" s="161" t="s">
        <v>75</v>
      </c>
      <c r="G29" s="167">
        <v>1990</v>
      </c>
      <c r="H29" s="161">
        <v>56</v>
      </c>
      <c r="I29" s="167">
        <v>111440</v>
      </c>
      <c r="J29" s="164"/>
      <c r="K29" s="150"/>
      <c r="L29" s="151"/>
      <c r="M29" s="148"/>
    </row>
    <row r="30" spans="1:13" s="155" customFormat="1" ht="12.9">
      <c r="A30" s="148"/>
      <c r="B30" s="149"/>
      <c r="C30" s="160"/>
      <c r="D30" s="161"/>
      <c r="E30" s="166" t="s">
        <v>165</v>
      </c>
      <c r="F30" s="161" t="s">
        <v>75</v>
      </c>
      <c r="G30" s="167">
        <v>1690</v>
      </c>
      <c r="H30" s="161">
        <v>4</v>
      </c>
      <c r="I30" s="167">
        <v>6760</v>
      </c>
      <c r="J30" s="164"/>
      <c r="K30" s="150"/>
      <c r="L30" s="151"/>
      <c r="M30" s="148"/>
    </row>
    <row r="31" spans="1:13" s="155" customFormat="1" ht="12.9">
      <c r="A31" s="148"/>
      <c r="B31" s="149"/>
      <c r="C31" s="160"/>
      <c r="D31" s="161"/>
      <c r="E31" s="166" t="s">
        <v>167</v>
      </c>
      <c r="F31" s="161" t="s">
        <v>75</v>
      </c>
      <c r="G31" s="167">
        <v>3650</v>
      </c>
      <c r="H31" s="161">
        <v>1</v>
      </c>
      <c r="I31" s="167">
        <v>3650</v>
      </c>
      <c r="J31" s="164"/>
      <c r="K31" s="150"/>
      <c r="L31" s="151"/>
      <c r="M31" s="148"/>
    </row>
    <row r="32" spans="1:13" ht="14.4">
      <c r="A32" s="17"/>
      <c r="B32" s="11"/>
      <c r="C32" s="71"/>
      <c r="D32" s="72"/>
      <c r="E32" s="165"/>
      <c r="F32" s="78"/>
      <c r="G32" s="50"/>
      <c r="H32" s="89" t="s">
        <v>135</v>
      </c>
      <c r="I32" s="170">
        <f>SUM(I22:I31)</f>
        <v>1258690</v>
      </c>
      <c r="J32" s="73"/>
      <c r="K32" s="9"/>
      <c r="L32" s="169"/>
      <c r="M32" s="17"/>
    </row>
    <row r="33" spans="1:13" ht="12.9">
      <c r="A33" s="17"/>
      <c r="B33" s="11"/>
      <c r="C33" s="74"/>
      <c r="D33" s="75"/>
      <c r="E33" s="75"/>
      <c r="F33" s="75"/>
      <c r="G33" s="75"/>
      <c r="H33" s="75"/>
      <c r="I33" s="75"/>
      <c r="J33" s="76"/>
      <c r="K33" s="9"/>
      <c r="L33" s="16"/>
      <c r="M33" s="17"/>
    </row>
    <row r="34" spans="1:13" ht="12.9">
      <c r="A34" s="17"/>
      <c r="B34" s="11"/>
      <c r="C34" s="68"/>
      <c r="D34" s="69"/>
      <c r="E34" s="69"/>
      <c r="F34" s="69"/>
      <c r="G34" s="69"/>
      <c r="H34" s="69"/>
      <c r="I34" s="69"/>
      <c r="J34" s="70"/>
      <c r="K34" s="9"/>
      <c r="L34" s="16"/>
      <c r="M34" s="17"/>
    </row>
    <row r="35" spans="1:13" ht="15.6">
      <c r="A35" s="17"/>
      <c r="B35" s="11"/>
      <c r="C35" s="71"/>
      <c r="D35" s="102" t="s">
        <v>115</v>
      </c>
      <c r="E35" s="77"/>
      <c r="F35" s="72"/>
      <c r="G35" s="72"/>
      <c r="H35" s="72"/>
      <c r="I35" s="72"/>
      <c r="J35" s="73"/>
      <c r="K35" s="9"/>
      <c r="L35" s="16"/>
      <c r="M35" s="17"/>
    </row>
    <row r="36" spans="1:13" ht="5.4" customHeight="1">
      <c r="A36" s="17"/>
      <c r="B36" s="11"/>
      <c r="C36" s="71"/>
      <c r="D36" s="72"/>
      <c r="E36" s="72"/>
      <c r="F36" s="72"/>
      <c r="G36" s="72"/>
      <c r="H36" s="72"/>
      <c r="I36" s="72"/>
      <c r="J36" s="73"/>
      <c r="K36" s="9"/>
      <c r="L36" s="16"/>
      <c r="M36" s="17"/>
    </row>
    <row r="37" spans="1:13" ht="5.4" customHeight="1">
      <c r="A37" s="17"/>
      <c r="B37" s="11"/>
      <c r="C37" s="71"/>
      <c r="D37" s="72"/>
      <c r="E37" s="72"/>
      <c r="F37" s="72"/>
      <c r="G37" s="72"/>
      <c r="H37" s="72"/>
      <c r="I37" s="72"/>
      <c r="J37" s="73"/>
      <c r="K37" s="9"/>
      <c r="L37" s="16"/>
      <c r="M37" s="17"/>
    </row>
    <row r="38" spans="1:13" ht="14.4">
      <c r="A38" s="17"/>
      <c r="B38" s="11"/>
      <c r="C38" s="71"/>
      <c r="D38" s="72"/>
      <c r="E38" s="127" t="s">
        <v>118</v>
      </c>
      <c r="F38" s="127" t="s">
        <v>120</v>
      </c>
      <c r="G38" s="128"/>
      <c r="H38" s="128"/>
      <c r="I38" s="127" t="s">
        <v>119</v>
      </c>
      <c r="J38" s="73"/>
      <c r="K38" s="9"/>
      <c r="L38" s="16"/>
      <c r="M38" s="17"/>
    </row>
    <row r="39" spans="1:13" ht="12.9">
      <c r="A39" s="17"/>
      <c r="B39" s="11"/>
      <c r="C39" s="71"/>
      <c r="D39" s="72"/>
      <c r="E39" s="144" t="s">
        <v>121</v>
      </c>
      <c r="F39" s="145" t="str">
        <f>('Mano de Obra'!C12+'Mano de Obra'!C15) &amp;" horas"</f>
        <v>0 horas</v>
      </c>
      <c r="G39" s="72"/>
      <c r="H39" s="72"/>
      <c r="I39" s="146">
        <f>'Mano de Obra'!G18</f>
        <v>0</v>
      </c>
      <c r="J39" s="73"/>
      <c r="K39" s="9"/>
      <c r="L39" s="16"/>
      <c r="M39" s="17"/>
    </row>
    <row r="40" spans="1:13" ht="12.9">
      <c r="A40" s="17"/>
      <c r="B40" s="11"/>
      <c r="C40" s="71"/>
      <c r="D40" s="72"/>
      <c r="E40" s="144" t="s">
        <v>122</v>
      </c>
      <c r="F40" s="145" t="str">
        <f>('Mano de Obra'!C18+'Mano de Obra'!C21)&amp;" días"</f>
        <v>2 días</v>
      </c>
      <c r="G40" s="72"/>
      <c r="H40" s="72"/>
      <c r="I40" s="146">
        <f>'Mano de Obra'!G19</f>
        <v>129030</v>
      </c>
      <c r="J40" s="73"/>
      <c r="K40" s="9"/>
      <c r="L40" s="16"/>
      <c r="M40" s="17"/>
    </row>
    <row r="41" spans="1:13" ht="15" customHeight="1">
      <c r="A41" s="17"/>
      <c r="B41" s="11"/>
      <c r="C41" s="71"/>
      <c r="D41" s="72"/>
      <c r="E41" s="88"/>
      <c r="F41" s="88"/>
      <c r="G41" s="98"/>
      <c r="H41" s="89" t="s">
        <v>124</v>
      </c>
      <c r="I41" s="90">
        <f>SUM(I39:I40)</f>
        <v>129030</v>
      </c>
      <c r="J41" s="73"/>
      <c r="K41" s="9"/>
      <c r="L41" s="16"/>
      <c r="M41" s="17"/>
    </row>
    <row r="42" spans="1:13" ht="12.9">
      <c r="A42" s="17"/>
      <c r="B42" s="11"/>
      <c r="C42" s="74"/>
      <c r="D42" s="75"/>
      <c r="E42" s="75"/>
      <c r="F42" s="75"/>
      <c r="G42" s="75"/>
      <c r="H42" s="75"/>
      <c r="I42" s="75"/>
      <c r="J42" s="76"/>
      <c r="K42" s="9"/>
      <c r="L42" s="16"/>
      <c r="M42" s="17"/>
    </row>
    <row r="43" spans="1:13" ht="12.9">
      <c r="A43" s="17"/>
      <c r="B43" s="11"/>
      <c r="C43" s="68"/>
      <c r="D43" s="69"/>
      <c r="E43" s="69"/>
      <c r="F43" s="69"/>
      <c r="G43" s="69"/>
      <c r="H43" s="69"/>
      <c r="I43" s="69"/>
      <c r="J43" s="70"/>
      <c r="K43" s="9"/>
      <c r="L43" s="16"/>
      <c r="M43" s="17"/>
    </row>
    <row r="44" spans="1:13" ht="15.6">
      <c r="A44" s="17"/>
      <c r="B44" s="11"/>
      <c r="C44" s="71"/>
      <c r="D44" s="102" t="s">
        <v>116</v>
      </c>
      <c r="E44" s="77"/>
      <c r="F44" s="72"/>
      <c r="G44" s="72"/>
      <c r="H44" s="72"/>
      <c r="I44" s="72"/>
      <c r="J44" s="73"/>
      <c r="K44" s="9"/>
      <c r="L44" s="16"/>
      <c r="M44" s="17"/>
    </row>
    <row r="45" spans="1:13" ht="5.4" customHeight="1">
      <c r="A45" s="17"/>
      <c r="B45" s="11"/>
      <c r="C45" s="71"/>
      <c r="D45" s="72"/>
      <c r="J45" s="73"/>
      <c r="K45" s="9"/>
      <c r="L45" s="16"/>
      <c r="M45" s="17"/>
    </row>
    <row r="46" spans="1:13" ht="14.4">
      <c r="A46" s="17"/>
      <c r="B46" s="11"/>
      <c r="C46" s="71"/>
      <c r="D46" s="72"/>
      <c r="E46" s="127" t="s">
        <v>118</v>
      </c>
      <c r="F46" s="128"/>
      <c r="G46" s="128"/>
      <c r="H46" s="128"/>
      <c r="I46" s="127" t="s">
        <v>119</v>
      </c>
      <c r="J46" s="73"/>
      <c r="K46" s="9"/>
      <c r="L46" s="16"/>
      <c r="M46" s="17"/>
    </row>
    <row r="47" spans="1:13" s="155" customFormat="1" ht="12.9">
      <c r="A47" s="148"/>
      <c r="B47" s="149"/>
      <c r="C47" s="160"/>
      <c r="D47" s="161"/>
      <c r="E47" s="162" t="s">
        <v>24</v>
      </c>
      <c r="F47" s="161"/>
      <c r="G47" s="161"/>
      <c r="H47" s="161"/>
      <c r="I47" s="163" cm="1">
        <f t="array" ref="I47">IF(TR_Costos[Ch_Transporte],Costos!E11,0)</f>
        <v>120000</v>
      </c>
      <c r="J47" s="164"/>
      <c r="K47" s="150"/>
      <c r="L47" s="151"/>
      <c r="M47" s="148"/>
    </row>
    <row r="48" spans="1:13" s="155" customFormat="1" ht="12.9">
      <c r="A48" s="148"/>
      <c r="B48" s="149"/>
      <c r="C48" s="160"/>
      <c r="D48" s="161"/>
      <c r="E48" s="162" t="s">
        <v>26</v>
      </c>
      <c r="F48" s="161"/>
      <c r="G48" s="161"/>
      <c r="H48" s="161"/>
      <c r="I48" s="163" cm="1">
        <f t="array" ref="I48">IF(TR_Costos[Ch_Herramientas],Costos!E13,0)</f>
        <v>20000</v>
      </c>
      <c r="J48" s="164"/>
      <c r="K48" s="150"/>
      <c r="L48" s="151"/>
      <c r="M48" s="148"/>
    </row>
    <row r="49" spans="1:13" s="155" customFormat="1" ht="1" customHeight="1">
      <c r="A49" s="148"/>
      <c r="B49" s="149"/>
      <c r="C49" s="160"/>
      <c r="D49" s="161"/>
      <c r="E49" s="162" t="s">
        <v>27</v>
      </c>
      <c r="F49" s="161"/>
      <c r="G49" s="161"/>
      <c r="H49" s="161"/>
      <c r="I49" s="163" cm="1">
        <f t="array" ref="I49">IF(TR_Costos[Ch_Alquiler],Costos!E15,0)</f>
        <v>0</v>
      </c>
      <c r="J49" s="164"/>
      <c r="K49" s="150"/>
      <c r="L49" s="151"/>
      <c r="M49" s="148"/>
    </row>
    <row r="50" spans="1:13" s="155" customFormat="1" ht="12.9">
      <c r="A50" s="148"/>
      <c r="B50" s="149"/>
      <c r="C50" s="160"/>
      <c r="D50" s="161"/>
      <c r="E50" s="162" t="s">
        <v>28</v>
      </c>
      <c r="F50" s="161"/>
      <c r="G50" s="161"/>
      <c r="H50" s="161"/>
      <c r="I50" s="163" cm="1">
        <f t="array" ref="I50">IF(TR_Costos[Ch_Caja],Costos!E17,0)</f>
        <v>30000</v>
      </c>
      <c r="J50" s="164"/>
      <c r="K50" s="150"/>
      <c r="L50" s="151"/>
      <c r="M50" s="148"/>
    </row>
    <row r="51" spans="1:13" ht="12.9">
      <c r="A51" s="17"/>
      <c r="B51" s="11"/>
      <c r="C51" s="71"/>
      <c r="D51" s="72"/>
      <c r="E51" s="144" t="str">
        <f>"Gastos extras ("&amp;Costos!I11&amp;"%)"</f>
        <v>Gastos extras (0%)</v>
      </c>
      <c r="F51" s="72"/>
      <c r="G51" s="72"/>
      <c r="H51" s="72"/>
      <c r="I51" s="91">
        <f>Costos!I20</f>
        <v>0</v>
      </c>
      <c r="J51" s="73"/>
      <c r="K51" s="9"/>
      <c r="L51" s="16"/>
      <c r="M51" s="17"/>
    </row>
    <row r="52" spans="1:13" ht="14.4">
      <c r="A52" s="17"/>
      <c r="B52" s="11"/>
      <c r="C52" s="71"/>
      <c r="D52" s="72"/>
      <c r="E52" s="88"/>
      <c r="F52" s="88"/>
      <c r="G52" s="88"/>
      <c r="H52" s="89" t="s">
        <v>127</v>
      </c>
      <c r="I52" s="90">
        <f>SUM(I47:I51)</f>
        <v>170000</v>
      </c>
      <c r="J52" s="73"/>
      <c r="L52" s="16"/>
      <c r="M52" s="17"/>
    </row>
    <row r="53" spans="1:13" ht="12.9">
      <c r="A53" s="17"/>
      <c r="B53" s="11"/>
      <c r="C53" s="71"/>
      <c r="D53" s="72"/>
      <c r="E53" s="72"/>
      <c r="F53" s="72"/>
      <c r="G53" s="72"/>
      <c r="H53" s="72"/>
      <c r="I53" s="72"/>
      <c r="J53" s="73"/>
      <c r="L53" s="16"/>
      <c r="M53" s="17"/>
    </row>
    <row r="54" spans="1:13" ht="12.9">
      <c r="A54" s="17"/>
      <c r="B54" s="11"/>
      <c r="C54" s="71"/>
      <c r="D54" s="72"/>
      <c r="E54" s="72" t="s">
        <v>60</v>
      </c>
      <c r="F54" s="72"/>
      <c r="G54" s="72"/>
      <c r="H54" s="72"/>
      <c r="I54" s="72"/>
      <c r="J54" s="73"/>
      <c r="L54" s="16"/>
      <c r="M54" s="17"/>
    </row>
    <row r="55" spans="1:13" ht="12.9">
      <c r="A55" s="17"/>
      <c r="B55" s="11"/>
      <c r="C55" s="71"/>
      <c r="D55" s="72"/>
      <c r="E55" s="198" t="str">
        <f>IF(ISTEXT(Costos!C20),Costos!C20,"Sin comentarios")</f>
        <v xml:space="preserve">trabajo patas de hierro </v>
      </c>
      <c r="F55" s="198"/>
      <c r="G55" s="198"/>
      <c r="H55" s="198"/>
      <c r="I55" s="198"/>
      <c r="J55" s="73"/>
      <c r="L55" s="16"/>
      <c r="M55" s="17"/>
    </row>
    <row r="56" spans="1:13" ht="12.9">
      <c r="A56" s="17"/>
      <c r="B56" s="11"/>
      <c r="C56" s="71"/>
      <c r="D56" s="72"/>
      <c r="E56" s="198"/>
      <c r="F56" s="198"/>
      <c r="G56" s="198"/>
      <c r="H56" s="198"/>
      <c r="I56" s="198"/>
      <c r="J56" s="73"/>
      <c r="L56" s="16"/>
      <c r="M56" s="17"/>
    </row>
    <row r="57" spans="1:13" ht="12.9">
      <c r="A57" s="17"/>
      <c r="B57" s="11"/>
      <c r="C57" s="71"/>
      <c r="D57" s="72"/>
      <c r="E57" s="198"/>
      <c r="F57" s="198"/>
      <c r="G57" s="198"/>
      <c r="H57" s="198"/>
      <c r="I57" s="198"/>
      <c r="J57" s="73"/>
      <c r="L57" s="16"/>
      <c r="M57" s="17"/>
    </row>
    <row r="58" spans="1:13" ht="12.9">
      <c r="A58" s="17"/>
      <c r="B58" s="11"/>
      <c r="C58" s="74"/>
      <c r="D58" s="75"/>
      <c r="E58" s="75"/>
      <c r="F58" s="75"/>
      <c r="G58" s="75"/>
      <c r="H58" s="75"/>
      <c r="I58" s="75"/>
      <c r="J58" s="76"/>
      <c r="L58" s="16"/>
      <c r="M58" s="17"/>
    </row>
    <row r="59" spans="1:13" ht="12.9">
      <c r="A59" s="17"/>
      <c r="B59" s="11"/>
      <c r="C59" s="79"/>
      <c r="D59" s="80"/>
      <c r="E59" s="80"/>
      <c r="F59" s="80"/>
      <c r="G59" s="80"/>
      <c r="H59" s="80"/>
      <c r="I59" s="80"/>
      <c r="J59" s="85"/>
      <c r="L59" s="16"/>
      <c r="M59" s="17"/>
    </row>
    <row r="60" spans="1:13" ht="15.6">
      <c r="A60" s="17"/>
      <c r="B60" s="11"/>
      <c r="C60" s="81"/>
      <c r="D60" s="101" t="s">
        <v>117</v>
      </c>
      <c r="E60" s="82"/>
      <c r="F60" s="78"/>
      <c r="G60" s="78"/>
      <c r="H60" s="78"/>
      <c r="I60" s="78"/>
      <c r="J60" s="86"/>
      <c r="L60" s="16"/>
      <c r="M60" s="17"/>
    </row>
    <row r="61" spans="1:13" ht="19.2" customHeight="1">
      <c r="A61" s="17"/>
      <c r="B61" s="11"/>
      <c r="C61" s="81"/>
      <c r="D61" s="78"/>
      <c r="E61" s="187" t="s">
        <v>132</v>
      </c>
      <c r="F61" s="188"/>
      <c r="G61" s="99"/>
      <c r="H61" s="99" t="s">
        <v>35</v>
      </c>
      <c r="I61" s="97">
        <f>Sub_Materiales+I41+I52</f>
        <v>1557720</v>
      </c>
      <c r="J61" s="86"/>
      <c r="L61" s="16"/>
      <c r="M61" s="17"/>
    </row>
    <row r="62" spans="1:13" ht="14.4">
      <c r="A62" s="17"/>
      <c r="B62" s="11"/>
      <c r="C62" s="81"/>
      <c r="D62" s="78"/>
      <c r="E62" s="189" t="s">
        <v>133</v>
      </c>
      <c r="F62" s="190"/>
      <c r="G62" s="100"/>
      <c r="H62" s="100" t="str">
        <f>"Utilidad ("&amp;Mrgn&amp;"%):"</f>
        <v>Utilidad (100%):</v>
      </c>
      <c r="I62" s="92">
        <f>Ganancia!J16</f>
        <v>1557720</v>
      </c>
      <c r="J62" s="86"/>
      <c r="L62" s="16"/>
      <c r="M62" s="17"/>
    </row>
    <row r="63" spans="1:13" ht="14.4">
      <c r="A63" s="17"/>
      <c r="B63" s="11"/>
      <c r="C63" s="81"/>
      <c r="D63" s="78"/>
      <c r="E63" s="189" t="s">
        <v>145</v>
      </c>
      <c r="F63" s="190"/>
      <c r="G63" s="100"/>
      <c r="H63" s="100" t="s">
        <v>36</v>
      </c>
      <c r="I63" s="92">
        <f>Ganancia!J17</f>
        <v>0</v>
      </c>
      <c r="J63" s="86"/>
      <c r="L63" s="16"/>
      <c r="M63" s="17"/>
    </row>
    <row r="64" spans="1:13" ht="19.2" customHeight="1">
      <c r="A64" s="17"/>
      <c r="B64" s="11"/>
      <c r="C64" s="81"/>
      <c r="D64" s="78"/>
      <c r="E64" s="192" t="s">
        <v>134</v>
      </c>
      <c r="F64" s="191"/>
      <c r="G64" s="186"/>
      <c r="H64" s="110" t="s">
        <v>146</v>
      </c>
      <c r="I64" s="111">
        <f>SUM(I61:I63)</f>
        <v>3115440</v>
      </c>
      <c r="J64" s="86"/>
      <c r="L64" s="16"/>
      <c r="M64" s="17"/>
    </row>
    <row r="65" spans="1:13" ht="4.8" customHeight="1">
      <c r="A65" s="17"/>
      <c r="B65" s="11"/>
      <c r="C65" s="81"/>
      <c r="D65" s="78"/>
      <c r="E65" s="78"/>
      <c r="F65" s="78"/>
      <c r="G65" s="78"/>
      <c r="H65" s="78"/>
      <c r="I65" s="78"/>
      <c r="J65" s="86"/>
      <c r="L65" s="16"/>
      <c r="M65" s="17"/>
    </row>
    <row r="66" spans="1:13" ht="12.9">
      <c r="A66" s="17"/>
      <c r="B66" s="11"/>
      <c r="C66" s="83"/>
      <c r="D66" s="84"/>
      <c r="E66" s="84"/>
      <c r="F66" s="84"/>
      <c r="G66" s="84"/>
      <c r="H66" s="84"/>
      <c r="I66" s="84"/>
      <c r="J66" s="87"/>
      <c r="K66" s="9"/>
      <c r="L66" s="16"/>
      <c r="M66" s="17"/>
    </row>
    <row r="67" spans="1:13" ht="12.9">
      <c r="A67" s="17"/>
      <c r="B67" s="13"/>
      <c r="C67" s="14"/>
      <c r="D67" s="14"/>
      <c r="E67" s="14"/>
      <c r="F67" s="14"/>
      <c r="G67" s="14"/>
      <c r="H67" s="14"/>
      <c r="I67" s="14"/>
      <c r="J67" s="14"/>
      <c r="K67" s="15"/>
      <c r="L67" s="16"/>
      <c r="M67" s="17"/>
    </row>
    <row r="68" spans="1:13" ht="3.75" customHeight="1">
      <c r="A68" s="17"/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7"/>
    </row>
    <row r="69" spans="1:13" ht="12.9">
      <c r="A69" s="17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</row>
    <row r="70" spans="1:13" ht="12.9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</row>
    <row r="71" spans="1:13" ht="12.9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</row>
    <row r="72" spans="1:13" ht="13.2" customHeight="1"/>
    <row r="73" spans="1:13" ht="13.2" customHeight="1"/>
    <row r="74" spans="1:13" ht="13.2" customHeight="1"/>
    <row r="75" spans="1:13" ht="13.2" customHeight="1"/>
    <row r="76" spans="1:13" ht="13.2" customHeight="1"/>
    <row r="77" spans="1:13" ht="13.2" customHeight="1"/>
    <row r="78" spans="1:13" ht="13.2" customHeight="1"/>
    <row r="79" spans="1:13" ht="13.2" customHeight="1"/>
    <row r="80" spans="1:13" ht="13.2" customHeight="1"/>
    <row r="81" ht="13.2" customHeight="1"/>
    <row r="82" ht="13.2" customHeight="1"/>
    <row r="83" ht="13.2" customHeight="1"/>
    <row r="84" ht="13.2" customHeight="1"/>
    <row r="85" ht="13.2" customHeight="1"/>
    <row r="86" ht="13.2" customHeight="1"/>
    <row r="87" ht="13.2" customHeight="1"/>
    <row r="88" ht="13.2" customHeight="1"/>
    <row r="89" ht="13.2" customHeight="1"/>
    <row r="90" ht="13.2" customHeight="1"/>
    <row r="91" ht="13.2" customHeight="1"/>
    <row r="92" ht="13.2" customHeight="1"/>
    <row r="93" ht="13.2" customHeight="1"/>
    <row r="94" ht="13.2" customHeight="1"/>
    <row r="95" ht="13.2" customHeight="1"/>
    <row r="96" ht="13.2" customHeight="1"/>
    <row r="97" ht="13.2" customHeight="1"/>
    <row r="98" ht="13.2" customHeight="1"/>
    <row r="99" ht="13.2" customHeight="1"/>
    <row r="100" ht="13.2" customHeight="1"/>
    <row r="101" ht="13.2" customHeight="1"/>
    <row r="102" ht="13.2" customHeight="1"/>
    <row r="103" ht="13.2" customHeight="1"/>
    <row r="104" ht="13.2" customHeight="1"/>
    <row r="105" ht="13.2" customHeight="1"/>
    <row r="106" ht="13.2" customHeight="1"/>
    <row r="107" ht="13.2" customHeight="1"/>
    <row r="108" ht="13.2" customHeight="1"/>
    <row r="109" ht="13.2" customHeight="1"/>
    <row r="110" ht="13.2" customHeight="1"/>
    <row r="111" ht="13.2" customHeight="1"/>
    <row r="112" ht="13.2" customHeight="1"/>
    <row r="113" ht="13.2" customHeight="1"/>
    <row r="114" ht="13.2" customHeight="1"/>
    <row r="115" ht="13.2" customHeight="1"/>
    <row r="116" ht="13.2" customHeight="1"/>
    <row r="117" ht="13.2" customHeight="1"/>
    <row r="118" ht="13.2" customHeight="1"/>
    <row r="119" ht="13.2" customHeight="1"/>
    <row r="120" ht="13.2" customHeight="1"/>
    <row r="121" ht="13.2" customHeight="1"/>
    <row r="122" ht="13.2" customHeight="1"/>
    <row r="123" ht="13.2" customHeight="1"/>
    <row r="124" ht="13.2" customHeight="1"/>
    <row r="125" ht="13.2" customHeight="1"/>
    <row r="126" ht="13.2" customHeight="1"/>
    <row r="127" ht="13.2" customHeight="1"/>
    <row r="128" ht="13.2" customHeight="1"/>
    <row r="129" ht="13.2" customHeight="1"/>
    <row r="130" ht="13.2" customHeight="1"/>
    <row r="131" ht="13.2" customHeight="1"/>
    <row r="132" ht="13.2" customHeight="1"/>
    <row r="133" ht="13.2" customHeight="1"/>
    <row r="134" ht="13.2" customHeight="1"/>
    <row r="135" ht="13.2" customHeight="1"/>
    <row r="136" ht="13.2" customHeight="1"/>
    <row r="137" ht="13.2" customHeight="1"/>
    <row r="138" ht="13.2" customHeight="1"/>
    <row r="139" ht="13.2" customHeight="1"/>
    <row r="140" ht="13.2" customHeight="1"/>
    <row r="141" ht="13.2" customHeight="1"/>
    <row r="142" ht="13.2" customHeight="1"/>
    <row r="143" ht="13.2" customHeight="1"/>
    <row r="144" ht="13.2" customHeight="1"/>
    <row r="145" ht="13.2" customHeight="1"/>
    <row r="146" ht="13.2" customHeight="1"/>
    <row r="147" ht="13.2" customHeight="1"/>
    <row r="148" ht="13.2" customHeight="1"/>
    <row r="149" ht="13.2" customHeight="1"/>
    <row r="150" ht="13.2" customHeight="1"/>
    <row r="151" ht="13.2" customHeight="1"/>
    <row r="152" ht="13.2" customHeight="1"/>
    <row r="153" ht="13.2" customHeight="1"/>
    <row r="154" ht="13.2" customHeight="1"/>
    <row r="155" ht="13.2" customHeight="1"/>
    <row r="156" ht="13.2" customHeight="1"/>
    <row r="157" ht="13.2" customHeight="1"/>
    <row r="158" ht="13.2" customHeight="1"/>
    <row r="159" ht="13.2" customHeight="1"/>
    <row r="160" ht="13.2" customHeight="1"/>
    <row r="161" ht="13.2" customHeight="1"/>
    <row r="162" ht="13.2" customHeight="1"/>
    <row r="163" ht="13.2" customHeight="1"/>
    <row r="164" ht="13.2" customHeight="1"/>
    <row r="165" ht="13.2" customHeight="1"/>
    <row r="166" ht="13.2" customHeight="1"/>
    <row r="167" ht="13.2" customHeight="1"/>
    <row r="168" ht="13.2" customHeight="1"/>
    <row r="169" ht="13.2" customHeight="1"/>
    <row r="170" ht="13.2" customHeight="1"/>
    <row r="171" ht="13.2" customHeight="1"/>
    <row r="172" ht="13.2" customHeight="1"/>
    <row r="173" ht="13.2" customHeight="1"/>
    <row r="174" ht="13.2" customHeight="1"/>
    <row r="175" ht="13.2" customHeight="1"/>
    <row r="176" ht="13.2" customHeight="1"/>
    <row r="177" ht="13.2" customHeight="1"/>
    <row r="178" ht="13.2" customHeight="1"/>
    <row r="179" ht="13.2" customHeight="1"/>
    <row r="180" ht="13.2" customHeight="1"/>
    <row r="181" ht="13.2" customHeight="1"/>
    <row r="182" ht="13.2" customHeight="1"/>
    <row r="183" ht="13.2" customHeight="1"/>
    <row r="184" ht="13.2" customHeight="1"/>
    <row r="185" ht="13.2" customHeight="1"/>
    <row r="186" ht="13.2" customHeight="1"/>
    <row r="187" ht="13.2" customHeight="1"/>
    <row r="188" ht="13.2" customHeight="1"/>
    <row r="189" ht="13.2" customHeight="1"/>
    <row r="190" ht="13.2" customHeight="1"/>
    <row r="191" ht="13.2" customHeight="1"/>
    <row r="192" ht="13.2" customHeight="1"/>
    <row r="193" ht="13.2" customHeight="1"/>
    <row r="194" ht="13.2" customHeight="1"/>
    <row r="195" ht="13.2" customHeight="1"/>
    <row r="196" ht="13.2" customHeight="1"/>
    <row r="197" ht="13.2" customHeight="1"/>
    <row r="198" ht="13.2" customHeight="1"/>
    <row r="199" ht="13.2" customHeight="1"/>
    <row r="200" ht="13.2" customHeight="1"/>
    <row r="201" ht="13.2" customHeight="1"/>
    <row r="202" ht="13.2" customHeight="1"/>
    <row r="203" ht="13.2" customHeight="1"/>
    <row r="204" ht="13.2" customHeight="1"/>
    <row r="205" ht="13.2" customHeight="1"/>
    <row r="206" ht="13.2" customHeight="1"/>
    <row r="207" ht="13.2" customHeight="1"/>
    <row r="208" ht="13.2" customHeight="1"/>
    <row r="209" ht="13.2" customHeight="1"/>
    <row r="210" ht="13.2" customHeight="1"/>
    <row r="211" ht="13.2" customHeight="1"/>
    <row r="212" ht="13.2" customHeight="1"/>
    <row r="213" ht="13.2" customHeight="1"/>
    <row r="214" ht="13.2" customHeight="1"/>
    <row r="215" ht="13.2" customHeight="1"/>
    <row r="216" ht="13.2" customHeight="1"/>
    <row r="217" ht="13.2" customHeight="1"/>
    <row r="218" ht="13.2" customHeight="1"/>
    <row r="219" ht="13.2" customHeight="1"/>
    <row r="220" ht="13.2" customHeight="1"/>
    <row r="221" ht="13.2" customHeight="1"/>
    <row r="222" ht="13.2" customHeight="1"/>
    <row r="223" ht="13.2" customHeight="1"/>
    <row r="224" ht="13.2" customHeight="1"/>
    <row r="225" ht="13.2" customHeight="1"/>
    <row r="226" ht="13.2" customHeight="1"/>
    <row r="227" ht="13.2" customHeight="1"/>
    <row r="228" ht="13.2" customHeight="1"/>
    <row r="229" ht="13.2" customHeight="1"/>
    <row r="230" ht="13.2" customHeight="1"/>
    <row r="231" ht="13.2" customHeight="1"/>
    <row r="232" ht="13.2" customHeight="1"/>
    <row r="233" ht="13.2" customHeight="1"/>
    <row r="234" ht="13.2" customHeight="1"/>
    <row r="235" ht="13.2" customHeight="1"/>
    <row r="236" ht="13.2" customHeight="1"/>
    <row r="237" ht="13.2" customHeight="1"/>
    <row r="238" ht="13.2" customHeight="1"/>
    <row r="239" ht="13.2" customHeight="1"/>
    <row r="240" ht="13.2" customHeight="1"/>
    <row r="241" ht="13.2" customHeight="1"/>
    <row r="242" ht="13.2" customHeight="1"/>
    <row r="243" ht="13.2" customHeight="1"/>
    <row r="244" ht="13.2" customHeight="1"/>
    <row r="245" ht="13.2" customHeight="1"/>
    <row r="246" ht="13.2" customHeight="1"/>
    <row r="247" ht="13.2" customHeight="1"/>
    <row r="248" ht="13.2" customHeight="1"/>
    <row r="249" ht="13.2" customHeight="1"/>
    <row r="250" ht="13.2" customHeight="1"/>
    <row r="251" ht="13.2" customHeight="1"/>
    <row r="252" ht="13.2" customHeight="1"/>
    <row r="253" ht="13.2" customHeight="1"/>
    <row r="254" ht="13.2" customHeight="1"/>
    <row r="255" ht="13.2" customHeight="1"/>
    <row r="256" ht="13.2" customHeight="1"/>
    <row r="257" ht="13.2" customHeight="1"/>
    <row r="258" ht="13.2" customHeight="1"/>
    <row r="259" ht="13.2" customHeight="1"/>
    <row r="260" ht="13.2" customHeight="1"/>
    <row r="261" ht="13.2" customHeight="1"/>
    <row r="262" ht="13.2" customHeight="1"/>
    <row r="263" ht="13.2" customHeight="1"/>
    <row r="264" ht="13.2" customHeight="1"/>
    <row r="265" ht="13.2" customHeight="1"/>
    <row r="266" ht="13.2" customHeight="1"/>
    <row r="267" ht="13.2" customHeight="1"/>
    <row r="268" ht="13.2" customHeight="1"/>
    <row r="269" ht="13.2" customHeight="1"/>
    <row r="270" ht="13.2" customHeight="1"/>
    <row r="271" ht="13.2" customHeight="1"/>
    <row r="272" ht="13.2" customHeight="1"/>
    <row r="273" ht="13.2" customHeight="1"/>
    <row r="274" ht="13.2" customHeight="1"/>
    <row r="275" ht="13.2" customHeight="1"/>
    <row r="276" ht="13.2" customHeight="1"/>
    <row r="277" ht="13.2" customHeight="1"/>
    <row r="278" ht="13.2" customHeight="1"/>
    <row r="279" ht="13.2" customHeight="1"/>
    <row r="280" ht="13.2" customHeight="1"/>
    <row r="281" ht="13.2" customHeight="1"/>
    <row r="282" ht="13.2" customHeight="1"/>
    <row r="283" ht="13.2" customHeight="1"/>
    <row r="284" ht="13.2" customHeight="1"/>
    <row r="285" ht="13.2" customHeight="1"/>
    <row r="286" ht="13.2" customHeight="1"/>
    <row r="287" ht="13.2" customHeight="1"/>
    <row r="288" ht="13.2" customHeight="1"/>
    <row r="289" ht="13.2" customHeight="1"/>
    <row r="290" ht="13.2" customHeight="1"/>
    <row r="291" ht="13.2" customHeight="1"/>
    <row r="292" ht="13.2" customHeight="1"/>
    <row r="293" ht="13.2" customHeight="1"/>
    <row r="294" ht="13.2" customHeight="1"/>
    <row r="295" ht="13.2" customHeight="1"/>
    <row r="296" ht="13.2" customHeight="1"/>
    <row r="297" ht="13.2" customHeight="1"/>
    <row r="298" ht="13.2" customHeight="1"/>
    <row r="299" ht="13.2" customHeight="1"/>
    <row r="300" ht="13.2" customHeight="1"/>
    <row r="301" ht="13.2" customHeight="1"/>
    <row r="302" ht="13.2" customHeight="1"/>
    <row r="303" ht="13.2" customHeight="1"/>
    <row r="304" ht="13.2" customHeight="1"/>
    <row r="305" ht="13.2" customHeight="1"/>
    <row r="306" ht="13.2" customHeight="1"/>
    <row r="307" ht="13.2" customHeight="1"/>
    <row r="308" ht="13.2" customHeight="1"/>
    <row r="309" ht="13.2" customHeight="1"/>
    <row r="310" ht="13.2" customHeight="1"/>
    <row r="311" ht="13.2" customHeight="1"/>
    <row r="312" ht="13.2" customHeight="1"/>
    <row r="313" ht="13.2" customHeight="1"/>
    <row r="314" ht="13.2" customHeight="1"/>
    <row r="315" ht="13.2" customHeight="1"/>
    <row r="316" ht="13.2" customHeight="1"/>
    <row r="317" ht="13.2" customHeight="1"/>
    <row r="318" ht="13.2" customHeight="1"/>
    <row r="319" ht="13.2" customHeight="1"/>
    <row r="320" ht="13.2" customHeight="1"/>
    <row r="321" ht="13.2" customHeight="1"/>
    <row r="322" ht="13.2" customHeight="1"/>
    <row r="323" ht="13.2" customHeight="1"/>
    <row r="324" ht="13.2" customHeight="1"/>
    <row r="325" ht="13.2" customHeight="1"/>
    <row r="326" ht="13.2" customHeight="1"/>
    <row r="327" ht="13.2" customHeight="1"/>
    <row r="328" ht="13.2" customHeight="1"/>
    <row r="329" ht="13.2" customHeight="1"/>
    <row r="330" ht="13.2" customHeight="1"/>
    <row r="331" ht="13.2" customHeight="1"/>
    <row r="332" ht="13.2" customHeight="1"/>
    <row r="333" ht="13.2" customHeight="1"/>
    <row r="334" ht="13.2" customHeight="1"/>
    <row r="335" ht="13.2" customHeight="1"/>
    <row r="336" ht="13.2" customHeight="1"/>
    <row r="337" ht="13.2" customHeight="1"/>
    <row r="338" ht="13.2" customHeight="1"/>
    <row r="339" ht="13.2" customHeight="1"/>
    <row r="340" ht="13.2" customHeight="1"/>
    <row r="341" ht="13.2" customHeight="1"/>
    <row r="342" ht="13.2" customHeight="1"/>
    <row r="343" ht="13.2" customHeight="1"/>
    <row r="344" ht="13.2" customHeight="1"/>
    <row r="345" ht="13.2" customHeight="1"/>
    <row r="346" ht="13.2" customHeight="1"/>
    <row r="347" ht="13.2" customHeight="1"/>
    <row r="348" ht="13.2" customHeight="1"/>
    <row r="349" ht="13.2" customHeight="1"/>
    <row r="350" ht="13.2" customHeight="1"/>
    <row r="351" ht="13.2" customHeight="1"/>
    <row r="352" ht="13.2" customHeight="1"/>
    <row r="353" ht="13.2" customHeight="1"/>
    <row r="354" ht="13.2" customHeight="1"/>
    <row r="355" ht="13.2" customHeight="1"/>
    <row r="356" ht="13.2" customHeight="1"/>
    <row r="357" ht="13.2" customHeight="1"/>
    <row r="358" ht="13.2" customHeight="1"/>
    <row r="359" ht="13.2" customHeight="1"/>
    <row r="360" ht="13.2" customHeight="1"/>
    <row r="361" ht="13.2" customHeight="1"/>
    <row r="362" ht="13.2" customHeight="1"/>
    <row r="363" ht="13.2" customHeight="1"/>
    <row r="364" ht="13.2" customHeight="1"/>
    <row r="365" ht="13.2" customHeight="1"/>
    <row r="366" ht="13.2" customHeight="1"/>
    <row r="367" ht="13.2" customHeight="1"/>
    <row r="368" ht="13.2" customHeight="1"/>
    <row r="369" ht="13.2" customHeight="1"/>
    <row r="370" ht="13.2" customHeight="1"/>
    <row r="371" ht="13.2" customHeight="1"/>
    <row r="372" ht="13.2" customHeight="1"/>
    <row r="373" ht="13.2" customHeight="1"/>
    <row r="374" ht="13.2" customHeight="1"/>
    <row r="375" ht="13.2" customHeight="1"/>
    <row r="376" ht="13.2" customHeight="1"/>
    <row r="377" ht="13.2" customHeight="1"/>
    <row r="378" ht="13.2" customHeight="1"/>
    <row r="379" ht="13.2" customHeight="1"/>
    <row r="380" ht="13.2" customHeight="1"/>
    <row r="381" ht="13.2" customHeight="1"/>
    <row r="382" ht="13.2" customHeight="1"/>
    <row r="383" ht="13.2" customHeight="1"/>
    <row r="384" ht="13.2" customHeight="1"/>
    <row r="385" ht="13.2" customHeight="1"/>
    <row r="386" ht="13.2" customHeight="1"/>
    <row r="387" ht="13.2" customHeight="1"/>
    <row r="388" ht="13.2" customHeight="1"/>
    <row r="389" ht="13.2" customHeight="1"/>
    <row r="390" ht="13.2" customHeight="1"/>
    <row r="391" ht="13.2" customHeight="1"/>
    <row r="392" ht="13.2" customHeight="1"/>
    <row r="393" ht="13.2" customHeight="1"/>
    <row r="394" ht="13.2" customHeight="1"/>
    <row r="395" ht="13.2" customHeight="1"/>
    <row r="396" ht="13.2" customHeight="1"/>
    <row r="397" ht="13.2" customHeight="1"/>
    <row r="398" ht="13.2" customHeight="1"/>
    <row r="399" ht="13.2" customHeight="1"/>
    <row r="400" ht="13.2" customHeight="1"/>
    <row r="401" ht="13.2" customHeight="1"/>
    <row r="402" ht="13.2" customHeight="1"/>
    <row r="403" ht="13.2" customHeight="1"/>
    <row r="404" ht="13.2" customHeight="1"/>
    <row r="405" ht="13.2" customHeight="1"/>
    <row r="406" ht="13.2" customHeight="1"/>
    <row r="407" ht="13.2" customHeight="1"/>
    <row r="408" ht="13.2" customHeight="1"/>
    <row r="409" ht="13.2" customHeight="1"/>
    <row r="410" ht="13.2" customHeight="1"/>
    <row r="411" ht="13.2" customHeight="1"/>
    <row r="412" ht="13.2" customHeight="1"/>
    <row r="413" ht="13.2" customHeight="1"/>
    <row r="414" ht="13.2" customHeight="1"/>
    <row r="415" ht="13.2" customHeight="1"/>
    <row r="416" ht="13.2" customHeight="1"/>
    <row r="417" ht="13.2" customHeight="1"/>
    <row r="418" ht="13.2" customHeight="1"/>
    <row r="419" ht="13.2" customHeight="1"/>
    <row r="420" ht="13.2" customHeight="1"/>
    <row r="421" ht="13.2" customHeight="1"/>
    <row r="422" ht="13.2" customHeight="1"/>
    <row r="423" ht="13.2" customHeight="1"/>
    <row r="424" ht="13.2" customHeight="1"/>
    <row r="425" ht="13.2" customHeight="1"/>
    <row r="426" ht="13.2" customHeight="1"/>
    <row r="427" ht="13.2" customHeight="1"/>
    <row r="428" ht="13.2" customHeight="1"/>
    <row r="429" ht="13.2" customHeight="1"/>
    <row r="430" ht="13.2" customHeight="1"/>
    <row r="431" ht="13.2" customHeight="1"/>
    <row r="432" ht="13.2" customHeight="1"/>
    <row r="433" ht="13.2" customHeight="1"/>
    <row r="434" ht="13.2" customHeight="1"/>
    <row r="435" ht="13.2" customHeight="1"/>
    <row r="436" ht="13.2" customHeight="1"/>
    <row r="437" ht="13.2" customHeight="1"/>
    <row r="438" ht="13.2" customHeight="1"/>
    <row r="439" ht="13.2" customHeight="1"/>
    <row r="440" ht="13.2" customHeight="1"/>
    <row r="441" ht="13.2" customHeight="1"/>
    <row r="442" ht="13.2" customHeight="1"/>
    <row r="443" ht="13.2" customHeight="1"/>
    <row r="444" ht="13.2" customHeight="1"/>
    <row r="445" ht="13.2" customHeight="1"/>
    <row r="446" ht="13.2" customHeight="1"/>
    <row r="447" ht="13.2" customHeight="1"/>
    <row r="448" ht="13.2" customHeight="1"/>
    <row r="449" ht="13.2" customHeight="1"/>
    <row r="450" ht="13.2" customHeight="1"/>
    <row r="451" ht="13.2" customHeight="1"/>
    <row r="452" ht="13.2" customHeight="1"/>
    <row r="453" ht="13.2" customHeight="1"/>
    <row r="454" ht="13.2" customHeight="1"/>
    <row r="455" ht="13.2" customHeight="1"/>
    <row r="456" ht="13.2" customHeight="1"/>
    <row r="457" ht="13.2" customHeight="1"/>
    <row r="458" ht="13.2" customHeight="1"/>
    <row r="459" ht="13.2" customHeight="1"/>
    <row r="460" ht="13.2" customHeight="1"/>
    <row r="461" ht="13.2" customHeight="1"/>
    <row r="462" ht="13.2" customHeight="1"/>
    <row r="463" ht="13.2" customHeight="1"/>
    <row r="464" ht="13.2" customHeight="1"/>
    <row r="465" ht="13.2" customHeight="1"/>
    <row r="466" ht="13.2" customHeight="1"/>
    <row r="467" ht="13.2" customHeight="1"/>
    <row r="468" ht="13.2" customHeight="1"/>
    <row r="469" ht="13.2" customHeight="1"/>
    <row r="470" ht="13.2" customHeight="1"/>
    <row r="471" ht="13.2" customHeight="1"/>
    <row r="472" ht="13.2" customHeight="1"/>
    <row r="473" ht="13.2" customHeight="1"/>
    <row r="474" ht="13.2" customHeight="1"/>
    <row r="475" ht="13.2" customHeight="1"/>
    <row r="476" ht="13.2" customHeight="1"/>
    <row r="477" ht="13.2" customHeight="1"/>
    <row r="478" ht="13.2" customHeight="1"/>
    <row r="479" ht="13.2" customHeight="1"/>
    <row r="480" ht="13.2" customHeight="1"/>
    <row r="481" ht="13.2" customHeight="1"/>
    <row r="482" ht="13.2" customHeight="1"/>
    <row r="483" ht="13.2" customHeight="1"/>
    <row r="484" ht="13.2" customHeight="1"/>
    <row r="485" ht="13.2" customHeight="1"/>
    <row r="486" ht="13.2" customHeight="1"/>
    <row r="487" ht="13.2" customHeight="1"/>
    <row r="488" ht="13.2" customHeight="1"/>
    <row r="489" ht="13.2" customHeight="1"/>
    <row r="490" ht="13.2" customHeight="1"/>
    <row r="491" ht="13.2" customHeight="1"/>
    <row r="492" ht="13.2" customHeight="1"/>
    <row r="493" ht="13.2" customHeight="1"/>
    <row r="494" ht="13.2" customHeight="1"/>
    <row r="495" ht="13.2" customHeight="1"/>
    <row r="496" ht="13.2" customHeight="1"/>
    <row r="497" ht="13.2" customHeight="1"/>
    <row r="498" ht="13.2" customHeight="1"/>
    <row r="499" ht="13.2" customHeight="1"/>
    <row r="500" ht="13.2" customHeight="1"/>
    <row r="501" ht="13.2" customHeight="1"/>
    <row r="502" ht="13.2" customHeight="1"/>
    <row r="503" ht="13.2" customHeight="1"/>
    <row r="504" ht="13.2" customHeight="1"/>
    <row r="505" ht="13.2" customHeight="1"/>
    <row r="506" ht="13.2" customHeight="1"/>
    <row r="507" ht="13.2" customHeight="1"/>
    <row r="508" ht="13.2" customHeight="1"/>
    <row r="509" ht="13.2" customHeight="1"/>
    <row r="510" ht="13.2" customHeight="1"/>
    <row r="511" ht="13.2" customHeight="1"/>
    <row r="512" ht="13.2" customHeight="1"/>
    <row r="513" ht="13.2" customHeight="1"/>
    <row r="514" ht="13.2" customHeight="1"/>
    <row r="515" ht="13.2" customHeight="1"/>
    <row r="516" ht="13.2" customHeight="1"/>
    <row r="517" ht="13.2" customHeight="1"/>
    <row r="518" ht="13.2" customHeight="1"/>
    <row r="519" ht="13.2" customHeight="1"/>
    <row r="520" ht="13.2" customHeight="1"/>
    <row r="521" ht="13.2" customHeight="1"/>
    <row r="522" ht="13.2" customHeight="1"/>
    <row r="523" ht="13.2" customHeight="1"/>
    <row r="524" ht="13.2" customHeight="1"/>
    <row r="525" ht="13.2" customHeight="1"/>
    <row r="526" ht="13.2" customHeight="1"/>
    <row r="527" ht="13.2" customHeight="1"/>
    <row r="528" ht="13.2" customHeight="1"/>
    <row r="529" ht="13.2" customHeight="1"/>
    <row r="530" ht="13.2" customHeight="1"/>
    <row r="531" ht="13.2" customHeight="1"/>
    <row r="532" ht="13.2" customHeight="1"/>
    <row r="533" ht="13.2" customHeight="1"/>
    <row r="534" ht="13.2" customHeight="1"/>
    <row r="535" ht="13.2" customHeight="1"/>
    <row r="536" ht="13.2" customHeight="1"/>
    <row r="537" ht="13.2" customHeight="1"/>
    <row r="538" ht="13.2" customHeight="1"/>
    <row r="539" ht="13.2" customHeight="1"/>
    <row r="540" ht="13.2" customHeight="1"/>
    <row r="541" ht="13.2" customHeight="1"/>
    <row r="542" ht="13.2" customHeight="1"/>
    <row r="543" ht="13.2" customHeight="1"/>
    <row r="544" ht="13.2" customHeight="1"/>
    <row r="545" ht="13.2" customHeight="1"/>
    <row r="546" ht="13.2" customHeight="1"/>
    <row r="547" ht="13.2" customHeight="1"/>
    <row r="548" ht="13.2" customHeight="1"/>
    <row r="549" ht="13.2" customHeight="1"/>
    <row r="550" ht="13.2" customHeight="1"/>
    <row r="551" ht="13.2" customHeight="1"/>
    <row r="552" ht="13.2" customHeight="1"/>
    <row r="553" ht="13.2" customHeight="1"/>
    <row r="554" ht="13.2" customHeight="1"/>
    <row r="555" ht="13.2" customHeight="1"/>
    <row r="556" ht="13.2" customHeight="1"/>
    <row r="557" ht="13.2" customHeight="1"/>
    <row r="558" ht="13.2" customHeight="1"/>
    <row r="559" ht="13.2" customHeight="1"/>
    <row r="560" ht="13.2" customHeight="1"/>
    <row r="561" ht="13.2" customHeight="1"/>
    <row r="562" ht="13.2" customHeight="1"/>
    <row r="563" ht="13.2" customHeight="1"/>
    <row r="564" ht="13.2" customHeight="1"/>
    <row r="565" ht="13.2" customHeight="1"/>
    <row r="566" ht="13.2" customHeight="1"/>
    <row r="567" ht="13.2" customHeight="1"/>
    <row r="568" ht="13.2" customHeight="1"/>
    <row r="569" ht="13.2" customHeight="1"/>
    <row r="570" ht="13.2" customHeight="1"/>
    <row r="571" ht="13.2" customHeight="1"/>
    <row r="572" ht="13.2" customHeight="1"/>
    <row r="573" ht="13.2" customHeight="1"/>
    <row r="574" ht="13.2" customHeight="1"/>
    <row r="575" ht="13.2" customHeight="1"/>
    <row r="576" ht="13.2" customHeight="1"/>
    <row r="577" ht="13.2" customHeight="1"/>
    <row r="578" ht="13.2" customHeight="1"/>
    <row r="579" ht="13.2" customHeight="1"/>
    <row r="580" ht="13.2" customHeight="1"/>
    <row r="581" ht="13.2" customHeight="1"/>
    <row r="582" ht="13.2" customHeight="1"/>
    <row r="583" ht="13.2" customHeight="1"/>
    <row r="584" ht="13.2" customHeight="1"/>
    <row r="585" ht="13.2" customHeight="1"/>
    <row r="586" ht="13.2" customHeight="1"/>
    <row r="587" ht="13.2" customHeight="1"/>
    <row r="588" ht="13.2" customHeight="1"/>
    <row r="589" ht="13.2" customHeight="1"/>
    <row r="590" ht="13.2" customHeight="1"/>
    <row r="591" ht="13.2" customHeight="1"/>
    <row r="592" ht="13.2" customHeight="1"/>
    <row r="593" ht="13.2" customHeight="1"/>
    <row r="594" ht="13.2" customHeight="1"/>
    <row r="595" ht="13.2" customHeight="1"/>
    <row r="596" ht="13.2" customHeight="1"/>
    <row r="597" ht="13.2" customHeight="1"/>
  </sheetData>
  <sheetProtection sheet="1" objects="1" scenarios="1" formatRows="0" insertRows="0" deleteRows="0"/>
  <dataConsolidate/>
  <mergeCells count="1">
    <mergeCell ref="E55:I57"/>
  </mergeCells>
  <printOptions horizontalCentered="1"/>
  <pageMargins left="0.23622047244094491" right="0.23622047244094491" top="0.55118110236220474" bottom="0.35433070866141736" header="0.31496062992125984" footer="0.31496062992125984"/>
  <pageSetup scale="90" orientation="portrait" r:id="rId1"/>
  <headerFooter>
    <oddFooter>&amp;C&amp;10Página &amp;P de &amp;N</oddFooter>
  </headerFooter>
  <ignoredErrors>
    <ignoredError sqref="I47:I51" unlocked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D8720-1C6D-4300-A149-0FDD9FB1D805}">
  <sheetPr codeName="Hoja7">
    <tabColor theme="4" tint="0.39997558519241921"/>
  </sheetPr>
  <dimension ref="B2:J32"/>
  <sheetViews>
    <sheetView showGridLines="0" workbookViewId="0">
      <selection activeCell="H33" sqref="H33"/>
    </sheetView>
  </sheetViews>
  <sheetFormatPr baseColWidth="10" defaultColWidth="11.41796875" defaultRowHeight="11.7"/>
  <cols>
    <col min="1" max="1" width="2.41796875" style="45" customWidth="1"/>
    <col min="2" max="2" width="20.89453125" style="45" bestFit="1" customWidth="1"/>
    <col min="3" max="3" width="5.5234375" style="45" customWidth="1"/>
    <col min="4" max="4" width="18.3125" style="45" customWidth="1"/>
    <col min="5" max="5" width="8" style="45" customWidth="1"/>
    <col min="6" max="6" width="15.20703125" style="45" customWidth="1"/>
    <col min="7" max="7" width="21.41796875" style="45" customWidth="1"/>
    <col min="8" max="8" width="26.20703125" style="45" customWidth="1"/>
    <col min="9" max="9" width="8.41796875" style="45" customWidth="1"/>
    <col min="10" max="10" width="15.41796875" style="45" bestFit="1" customWidth="1"/>
    <col min="11" max="16384" width="11.41796875" style="45"/>
  </cols>
  <sheetData>
    <row r="2" spans="2:10">
      <c r="B2" s="65" t="s">
        <v>128</v>
      </c>
      <c r="D2" s="65" t="s">
        <v>106</v>
      </c>
      <c r="F2" s="65" t="s">
        <v>110</v>
      </c>
      <c r="G2" s="65"/>
      <c r="H2" s="65"/>
      <c r="J2" s="65" t="s">
        <v>107</v>
      </c>
    </row>
    <row r="3" spans="2:10">
      <c r="B3" s="45" t="s">
        <v>2</v>
      </c>
      <c r="D3" s="45" t="s">
        <v>87</v>
      </c>
      <c r="F3" s="63" t="s">
        <v>81</v>
      </c>
      <c r="G3" s="64" t="s">
        <v>74</v>
      </c>
      <c r="H3" s="67" t="s">
        <v>109</v>
      </c>
      <c r="J3" s="45" t="s">
        <v>88</v>
      </c>
    </row>
    <row r="4" spans="2:10">
      <c r="B4" s="45" t="s">
        <v>38</v>
      </c>
      <c r="D4" s="45" t="s">
        <v>84</v>
      </c>
      <c r="F4" s="61" t="s">
        <v>84</v>
      </c>
      <c r="G4" s="62" t="s">
        <v>97</v>
      </c>
      <c r="H4" s="66" t="str">
        <f>T_Materiales[[#This Row],[Categoría]]&amp;" - "&amp;T_Materiales[[#This Row],[Material]]</f>
        <v>Acabados - Sellador</v>
      </c>
      <c r="J4" s="45" t="s">
        <v>86</v>
      </c>
    </row>
    <row r="5" spans="2:10">
      <c r="B5" s="45" t="s">
        <v>39</v>
      </c>
      <c r="D5" s="45" t="s">
        <v>83</v>
      </c>
      <c r="F5" s="61" t="s">
        <v>84</v>
      </c>
      <c r="G5" s="62" t="s">
        <v>98</v>
      </c>
      <c r="H5" s="66" t="str">
        <f>T_Materiales[[#This Row],[Categoría]]&amp;" - "&amp;T_Materiales[[#This Row],[Material]]</f>
        <v>Acabados - Barniz</v>
      </c>
      <c r="J5" s="45" t="s">
        <v>75</v>
      </c>
    </row>
    <row r="6" spans="2:10">
      <c r="B6" s="45" t="s">
        <v>40</v>
      </c>
      <c r="D6" s="45" t="s">
        <v>82</v>
      </c>
      <c r="F6" s="61" t="s">
        <v>84</v>
      </c>
      <c r="G6" s="62" t="s">
        <v>99</v>
      </c>
      <c r="H6" s="66" t="str">
        <f>T_Materiales[[#This Row],[Categoría]]&amp;" - "&amp;T_Materiales[[#This Row],[Material]]</f>
        <v>Acabados - Pintura</v>
      </c>
      <c r="J6" s="45" t="s">
        <v>89</v>
      </c>
    </row>
    <row r="7" spans="2:10">
      <c r="B7" s="45" t="s">
        <v>41</v>
      </c>
      <c r="D7" s="45" t="s">
        <v>85</v>
      </c>
      <c r="F7" s="61" t="s">
        <v>84</v>
      </c>
      <c r="G7" s="62" t="s">
        <v>100</v>
      </c>
      <c r="H7" s="66" t="str">
        <f>T_Materiales[[#This Row],[Categoría]]&amp;" - "&amp;T_Materiales[[#This Row],[Material]]</f>
        <v>Acabados - Tapacantos</v>
      </c>
    </row>
    <row r="8" spans="2:10">
      <c r="B8" s="45" t="s">
        <v>4</v>
      </c>
      <c r="D8" s="44" t="s">
        <v>143</v>
      </c>
      <c r="F8" s="61" t="s">
        <v>83</v>
      </c>
      <c r="G8" s="62" t="s">
        <v>94</v>
      </c>
      <c r="H8" s="66" t="str">
        <f>T_Materiales[[#This Row],[Categoría]]&amp;" - "&amp;T_Materiales[[#This Row],[Material]]</f>
        <v>Herrajes - Bisagras</v>
      </c>
    </row>
    <row r="9" spans="2:10">
      <c r="B9" s="45" t="s">
        <v>42</v>
      </c>
      <c r="D9" s="44" t="s">
        <v>147</v>
      </c>
      <c r="F9" s="61" t="s">
        <v>83</v>
      </c>
      <c r="G9" s="62" t="s">
        <v>95</v>
      </c>
      <c r="H9" s="66" t="str">
        <f>T_Materiales[[#This Row],[Categoría]]&amp;" - "&amp;T_Materiales[[#This Row],[Material]]</f>
        <v>Herrajes - Tiradores</v>
      </c>
    </row>
    <row r="10" spans="2:10">
      <c r="D10" s="44" t="s">
        <v>150</v>
      </c>
      <c r="F10" s="61" t="s">
        <v>83</v>
      </c>
      <c r="G10" s="62" t="s">
        <v>96</v>
      </c>
      <c r="H10" s="66" t="str">
        <f>T_Materiales[[#This Row],[Categoría]]&amp;" - "&amp;T_Materiales[[#This Row],[Material]]</f>
        <v>Herrajes - Correderas</v>
      </c>
    </row>
    <row r="11" spans="2:10">
      <c r="D11" s="44" t="s">
        <v>99</v>
      </c>
      <c r="F11" s="61" t="s">
        <v>82</v>
      </c>
      <c r="G11" s="62" t="s">
        <v>90</v>
      </c>
      <c r="H11" s="66" t="str">
        <f>T_Materiales[[#This Row],[Categoría]]&amp;" - "&amp;T_Materiales[[#This Row],[Material]]</f>
        <v>Melamina - Melamina blanca 18 mm</v>
      </c>
    </row>
    <row r="12" spans="2:10">
      <c r="D12" s="44" t="s">
        <v>161</v>
      </c>
      <c r="F12" s="61" t="s">
        <v>82</v>
      </c>
      <c r="G12" s="62" t="s">
        <v>91</v>
      </c>
      <c r="H12" s="66" t="str">
        <f>T_Materiales[[#This Row],[Categoría]]&amp;" - "&amp;T_Materiales[[#This Row],[Material]]</f>
        <v>Melamina - Melamina nogal 18 mm</v>
      </c>
    </row>
    <row r="13" spans="2:10">
      <c r="F13" s="61" t="s">
        <v>82</v>
      </c>
      <c r="G13" s="62" t="s">
        <v>92</v>
      </c>
      <c r="H13" s="66" t="str">
        <f>T_Materiales[[#This Row],[Categoría]]&amp;" - "&amp;T_Materiales[[#This Row],[Material]]</f>
        <v>Melamina - Melamina roble 18 mm</v>
      </c>
    </row>
    <row r="14" spans="2:10">
      <c r="F14" s="61" t="s">
        <v>82</v>
      </c>
      <c r="G14" s="62" t="s">
        <v>93</v>
      </c>
      <c r="H14" s="66" t="str">
        <f>T_Materiales[[#This Row],[Categoría]]&amp;" - "&amp;T_Materiales[[#This Row],[Material]]</f>
        <v>Melamina - Melamina negra 18 mm</v>
      </c>
    </row>
    <row r="15" spans="2:10">
      <c r="F15" s="61" t="s">
        <v>85</v>
      </c>
      <c r="G15" s="62" t="s">
        <v>101</v>
      </c>
      <c r="H15" s="66" t="str">
        <f>T_Materiales[[#This Row],[Categoría]]&amp;" - "&amp;T_Materiales[[#This Row],[Material]]</f>
        <v>Otros - Vidrio</v>
      </c>
    </row>
    <row r="16" spans="2:10">
      <c r="F16" s="61" t="s">
        <v>85</v>
      </c>
      <c r="G16" s="62" t="s">
        <v>102</v>
      </c>
      <c r="H16" s="66" t="str">
        <f>T_Materiales[[#This Row],[Categoría]]&amp;" - "&amp;T_Materiales[[#This Row],[Material]]</f>
        <v>Otros - Espejo</v>
      </c>
    </row>
    <row r="17" spans="6:8">
      <c r="F17" s="61" t="s">
        <v>85</v>
      </c>
      <c r="G17" s="62" t="s">
        <v>103</v>
      </c>
      <c r="H17" s="66" t="str">
        <f>T_Materiales[[#This Row],[Categoría]]&amp;" - "&amp;T_Materiales[[#This Row],[Material]]</f>
        <v>Otros - Iluminación LED</v>
      </c>
    </row>
    <row r="18" spans="6:8">
      <c r="F18" s="61" t="s">
        <v>85</v>
      </c>
      <c r="G18" s="62" t="s">
        <v>104</v>
      </c>
      <c r="H18" s="66" t="str">
        <f>T_Materiales[[#This Row],[Categoría]]&amp;" - "&amp;T_Materiales[[#This Row],[Material]]</f>
        <v>Otros - Adhesivo</v>
      </c>
    </row>
    <row r="19" spans="6:8">
      <c r="F19" s="193" t="s">
        <v>143</v>
      </c>
      <c r="G19" s="195" t="s">
        <v>144</v>
      </c>
      <c r="H19" s="197" t="str">
        <f>T_Materiales[[#This Row],[Categoría]]&amp;" - "&amp;T_Materiales[[#This Row],[Material]]</f>
        <v xml:space="preserve">Cubiertas - Blanco Galaxy </v>
      </c>
    </row>
    <row r="20" spans="6:8">
      <c r="F20" s="194" t="s">
        <v>147</v>
      </c>
      <c r="G20" s="196" t="s">
        <v>148</v>
      </c>
      <c r="H20" s="197" t="str">
        <f>T_Materiales[[#This Row],[Categoría]]&amp;" - "&amp;T_Materiales[[#This Row],[Material]]</f>
        <v xml:space="preserve">Ensamble - Tornillos </v>
      </c>
    </row>
    <row r="21" spans="6:8">
      <c r="F21" s="194" t="s">
        <v>150</v>
      </c>
      <c r="G21" s="196" t="s">
        <v>151</v>
      </c>
      <c r="H21" s="197" t="str">
        <f>T_Materiales[[#This Row],[Categoría]]&amp;" - "&amp;T_Materiales[[#This Row],[Material]]</f>
        <v>Accesorios - Basurero En Cubierta</v>
      </c>
    </row>
    <row r="22" spans="6:8">
      <c r="F22" s="194" t="s">
        <v>83</v>
      </c>
      <c r="G22" s="196" t="s">
        <v>152</v>
      </c>
      <c r="H22" s="197" t="str">
        <f>T_Materiales[[#This Row],[Categoría]]&amp;" - "&amp;T_Materiales[[#This Row],[Material]]</f>
        <v>Herrajes - BRAZO ELEVABLE SALICE</v>
      </c>
    </row>
    <row r="23" spans="6:8">
      <c r="F23" s="194" t="s">
        <v>82</v>
      </c>
      <c r="G23" s="196" t="s">
        <v>153</v>
      </c>
      <c r="H23" s="197" t="str">
        <f>T_Materiales[[#This Row],[Categoría]]&amp;" - "&amp;T_Materiales[[#This Row],[Material]]</f>
        <v>Melamina - MDF 18</v>
      </c>
    </row>
    <row r="24" spans="6:8">
      <c r="F24" s="193" t="s">
        <v>99</v>
      </c>
      <c r="G24" s="195" t="s">
        <v>154</v>
      </c>
      <c r="H24" s="197" t="str">
        <f>T_Materiales[[#This Row],[Categoría]]&amp;" - "&amp;T_Materiales[[#This Row],[Material]]</f>
        <v>Pintura - Melise M2</v>
      </c>
    </row>
    <row r="25" spans="6:8" ht="27">
      <c r="F25" s="194" t="s">
        <v>82</v>
      </c>
      <c r="G25" s="199" t="s">
        <v>155</v>
      </c>
      <c r="H25" s="197" t="str">
        <f>T_Materiales[[#This Row],[Categoría]]&amp;" - "&amp;T_Materiales[[#This Row],[Material]]</f>
        <v>Melamina - Palillaje Acústico Intensity MDF+PET Beige Natural 285x2400x21</v>
      </c>
    </row>
    <row r="26" spans="6:8">
      <c r="F26" s="194" t="s">
        <v>84</v>
      </c>
      <c r="G26" s="196" t="s">
        <v>156</v>
      </c>
      <c r="H26" s="197" t="str">
        <f>T_Materiales[[#This Row],[Categoría]]&amp;" - "&amp;T_Materiales[[#This Row],[Material]]</f>
        <v>Acabados - Soporte repisa invisible 121mm 4und</v>
      </c>
    </row>
    <row r="27" spans="6:8">
      <c r="F27" s="194" t="s">
        <v>161</v>
      </c>
      <c r="G27" s="196" t="s">
        <v>162</v>
      </c>
      <c r="H27" s="197" t="str">
        <f>T_Materiales[[#This Row],[Categoría]]&amp;" - "&amp;T_Materiales[[#This Row],[Material]]</f>
        <v>Tirador - Asa Corrida Negro 3Mt + 3 Par Tapas Terminales Asa 411 Negro</v>
      </c>
    </row>
    <row r="28" spans="6:8">
      <c r="F28" s="194" t="s">
        <v>83</v>
      </c>
      <c r="G28" s="196" t="s">
        <v>164</v>
      </c>
      <c r="H28" s="197" t="str">
        <f>T_Materiales[[#This Row],[Categoría]]&amp;" - "&amp;T_Materiales[[#This Row],[Material]]</f>
        <v>Herrajes - PISTÓN A GAS CIERRE SUAVE</v>
      </c>
    </row>
    <row r="29" spans="6:8">
      <c r="F29" s="194" t="s">
        <v>83</v>
      </c>
      <c r="G29" s="196" t="s">
        <v>166</v>
      </c>
      <c r="H29" s="197" t="str">
        <f>T_Materiales[[#This Row],[Categoría]]&amp;" - "&amp;T_Materiales[[#This Row],[Material]]</f>
        <v xml:space="preserve">Herrajes - Barra ovalada </v>
      </c>
    </row>
    <row r="30" spans="6:8">
      <c r="F30" s="194"/>
      <c r="G30" s="196"/>
      <c r="H30" s="197" t="str">
        <f>T_Materiales[[#This Row],[Categoría]]&amp;" - "&amp;T_Materiales[[#This Row],[Material]]</f>
        <v xml:space="preserve"> - </v>
      </c>
    </row>
    <row r="31" spans="6:8">
      <c r="F31" s="194"/>
      <c r="G31" s="196"/>
      <c r="H31" s="197" t="str">
        <f>T_Materiales[[#This Row],[Categoría]]&amp;" - "&amp;T_Materiales[[#This Row],[Material]]</f>
        <v xml:space="preserve"> - </v>
      </c>
    </row>
    <row r="32" spans="6:8">
      <c r="F32" s="194"/>
      <c r="G32" s="196"/>
      <c r="H32" s="197" t="str">
        <f>T_Materiales[[#This Row],[Categoría]]&amp;" - "&amp;T_Materiales[[#This Row],[Material]]</f>
        <v xml:space="preserve"> - </v>
      </c>
    </row>
  </sheetData>
  <dataValidations count="1">
    <dataValidation type="list" allowBlank="1" showInputMessage="1" showErrorMessage="1" sqref="F4:F32" xr:uid="{59D80978-0EB4-4253-BC9F-6638C9BE2714}">
      <formula1>Menu_Categoria</formula1>
    </dataValidation>
  </dataValidations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79202-8E85-4CFB-9481-26C154FA39DB}">
  <sheetPr codeName="Hoja8">
    <tabColor theme="4" tint="0.39997558519241921"/>
  </sheetPr>
  <dimension ref="B2:K22"/>
  <sheetViews>
    <sheetView showGridLines="0" workbookViewId="0">
      <selection activeCell="B19" sqref="B19"/>
    </sheetView>
  </sheetViews>
  <sheetFormatPr baseColWidth="10" defaultColWidth="11.41796875" defaultRowHeight="11.7"/>
  <cols>
    <col min="1" max="1" width="1.3125" style="44" customWidth="1"/>
    <col min="2" max="2" width="12.41796875" style="44" customWidth="1"/>
    <col min="3" max="3" width="14.3125" style="44" customWidth="1"/>
    <col min="4" max="5" width="11.41796875" style="44"/>
    <col min="6" max="6" width="13.3125" style="44" customWidth="1"/>
    <col min="7" max="7" width="15.1015625" style="44" customWidth="1"/>
    <col min="8" max="10" width="11.41796875" style="44"/>
    <col min="11" max="11" width="11.7890625" style="44" customWidth="1"/>
    <col min="12" max="16384" width="11.41796875" style="44"/>
  </cols>
  <sheetData>
    <row r="2" spans="2:11" ht="12.9">
      <c r="B2" s="43" t="s">
        <v>43</v>
      </c>
    </row>
    <row r="3" spans="2:11">
      <c r="B3" s="44" t="s">
        <v>45</v>
      </c>
      <c r="C3" s="44" t="s">
        <v>46</v>
      </c>
      <c r="D3" s="44" t="s">
        <v>47</v>
      </c>
      <c r="E3" s="44" t="s">
        <v>3</v>
      </c>
      <c r="F3" s="44" t="s">
        <v>5</v>
      </c>
      <c r="G3" s="44" t="s">
        <v>48</v>
      </c>
      <c r="H3" s="44" t="s">
        <v>49</v>
      </c>
    </row>
    <row r="4" spans="2:11">
      <c r="B4" s="44" t="str">
        <f>Información!C13</f>
        <v>Rodrigo Barria, Palillaje, escritorio ,arturito, archivador abierto</v>
      </c>
      <c r="C4" s="44" t="str">
        <f>Información!C10</f>
        <v>Felipe Acorssi</v>
      </c>
      <c r="D4" s="44" t="str">
        <f>Información!E10</f>
        <v>Escritorio</v>
      </c>
      <c r="E4" s="46">
        <f>Información!E13</f>
        <v>0</v>
      </c>
      <c r="F4" s="44" t="str">
        <f>Información!C16</f>
        <v>la cascada 81 Barrio Laduna,Colina, santiago</v>
      </c>
      <c r="G4" s="44" t="b">
        <v>0</v>
      </c>
      <c r="H4" s="44" t="b">
        <v>1</v>
      </c>
    </row>
    <row r="6" spans="2:11" ht="12.9">
      <c r="B6" s="43" t="s">
        <v>66</v>
      </c>
    </row>
    <row r="7" spans="2:11">
      <c r="B7" s="44" t="s">
        <v>67</v>
      </c>
      <c r="C7" s="44" t="s">
        <v>68</v>
      </c>
      <c r="D7" s="44" t="s">
        <v>69</v>
      </c>
      <c r="E7" s="44" t="s">
        <v>70</v>
      </c>
      <c r="F7" s="44" t="s">
        <v>71</v>
      </c>
      <c r="G7" s="44" t="s">
        <v>72</v>
      </c>
    </row>
    <row r="8" spans="2:11">
      <c r="B8" s="44">
        <f>'Mano de Obra'!C12</f>
        <v>0</v>
      </c>
      <c r="C8" s="60">
        <f>'Mano de Obra'!C15</f>
        <v>0</v>
      </c>
      <c r="D8" s="44">
        <f>'Mano de Obra'!C18</f>
        <v>2</v>
      </c>
      <c r="E8" s="44">
        <f>'Mano de Obra'!C21</f>
        <v>0</v>
      </c>
      <c r="F8" s="44">
        <f>'Mano de Obra'!F12</f>
        <v>12000</v>
      </c>
      <c r="G8" s="44">
        <f>'Mano de Obra'!F15</f>
        <v>64515</v>
      </c>
    </row>
    <row r="10" spans="2:11" ht="12.9">
      <c r="B10" s="43" t="s">
        <v>50</v>
      </c>
    </row>
    <row r="11" spans="2:11">
      <c r="B11" s="44" t="s">
        <v>51</v>
      </c>
      <c r="C11" s="44" t="s">
        <v>52</v>
      </c>
      <c r="D11" s="44" t="s">
        <v>53</v>
      </c>
      <c r="E11" s="44" t="s">
        <v>54</v>
      </c>
      <c r="F11" s="44" t="s">
        <v>55</v>
      </c>
      <c r="G11" s="44" t="s">
        <v>56</v>
      </c>
      <c r="H11" s="44" t="s">
        <v>57</v>
      </c>
      <c r="I11" s="44" t="s">
        <v>58</v>
      </c>
      <c r="J11" s="44" t="s">
        <v>59</v>
      </c>
      <c r="K11" s="44" t="s">
        <v>60</v>
      </c>
    </row>
    <row r="12" spans="2:11">
      <c r="B12" s="47">
        <f>Costos!E11</f>
        <v>120000</v>
      </c>
      <c r="C12" s="47">
        <f>Costos!E13</f>
        <v>20000</v>
      </c>
      <c r="D12" s="47">
        <f>Costos!E15</f>
        <v>0</v>
      </c>
      <c r="E12" s="47">
        <f>Costos!E17</f>
        <v>30000</v>
      </c>
      <c r="F12" s="44" t="b">
        <v>1</v>
      </c>
      <c r="G12" s="44" t="b">
        <v>1</v>
      </c>
      <c r="H12" s="44" t="b">
        <v>0</v>
      </c>
      <c r="I12" s="44" t="b">
        <v>1</v>
      </c>
      <c r="J12" s="47">
        <f>Costos!I11</f>
        <v>0</v>
      </c>
      <c r="K12" s="44">
        <f>Costos!G14</f>
        <v>0</v>
      </c>
    </row>
    <row r="14" spans="2:11" ht="12.9">
      <c r="B14" s="43" t="s">
        <v>63</v>
      </c>
    </row>
    <row r="15" spans="2:11">
      <c r="B15" s="44" t="s">
        <v>64</v>
      </c>
      <c r="C15" s="44" t="s">
        <v>65</v>
      </c>
    </row>
    <row r="16" spans="2:11">
      <c r="B16" s="44">
        <f>Mrgn</f>
        <v>100</v>
      </c>
      <c r="C16" s="44">
        <f>Ganancia!E16</f>
        <v>0</v>
      </c>
    </row>
    <row r="18" spans="2:8" ht="12.9">
      <c r="B18" s="43" t="s">
        <v>129</v>
      </c>
    </row>
    <row r="19" spans="2:8">
      <c r="B19" s="44">
        <v>1</v>
      </c>
    </row>
    <row r="21" spans="2:8" ht="12.9">
      <c r="B21" s="43" t="s">
        <v>80</v>
      </c>
    </row>
    <row r="22" spans="2:8">
      <c r="B22" s="44" t="s">
        <v>73</v>
      </c>
      <c r="C22" s="44" t="s">
        <v>74</v>
      </c>
      <c r="D22" s="44" t="s">
        <v>75</v>
      </c>
      <c r="E22" s="44" t="s">
        <v>76</v>
      </c>
      <c r="F22" s="44" t="s">
        <v>77</v>
      </c>
      <c r="G22" s="44" t="s">
        <v>78</v>
      </c>
      <c r="H22" s="44" t="s">
        <v>79</v>
      </c>
    </row>
  </sheetData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19</vt:i4>
      </vt:variant>
    </vt:vector>
  </HeadingPairs>
  <TitlesOfParts>
    <vt:vector size="27" baseType="lpstr">
      <vt:lpstr>Información</vt:lpstr>
      <vt:lpstr>Materiales</vt:lpstr>
      <vt:lpstr>Mano de Obra</vt:lpstr>
      <vt:lpstr>Costos</vt:lpstr>
      <vt:lpstr>Ganancia</vt:lpstr>
      <vt:lpstr>Resumen</vt:lpstr>
      <vt:lpstr>Menús</vt:lpstr>
      <vt:lpstr>Info</vt:lpstr>
      <vt:lpstr>Materiales!Área_de_impresión</vt:lpstr>
      <vt:lpstr>Resumen!Área_de_impresión</vt:lpstr>
      <vt:lpstr>Base_Material</vt:lpstr>
      <vt:lpstr>Base_Mats</vt:lpstr>
      <vt:lpstr>Celda_CyM</vt:lpstr>
      <vt:lpstr>Mensaje_Mats</vt:lpstr>
      <vt:lpstr>Menu_Cat_Mat</vt:lpstr>
      <vt:lpstr>Menu_Categoria</vt:lpstr>
      <vt:lpstr>Menu_T_Mueble</vt:lpstr>
      <vt:lpstr>Menu_Unidades</vt:lpstr>
      <vt:lpstr>Mrgn</vt:lpstr>
      <vt:lpstr>Res_Alquiler</vt:lpstr>
      <vt:lpstr>Res_Caja</vt:lpstr>
      <vt:lpstr>Res_Herramientas</vt:lpstr>
      <vt:lpstr>Res_Transporte</vt:lpstr>
      <vt:lpstr>Sub_Materiales</vt:lpstr>
      <vt:lpstr>Superior_Mats</vt:lpstr>
      <vt:lpstr>Total_Material</vt:lpstr>
      <vt:lpstr>Ult_Fila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Carrillo Aguilar, Oliver</dc:creator>
  <cp:keywords/>
  <dc:description/>
  <cp:lastModifiedBy>Muebleria Casa Blanca</cp:lastModifiedBy>
  <cp:revision/>
  <cp:lastPrinted>2025-11-12T23:32:27Z</cp:lastPrinted>
  <dcterms:created xsi:type="dcterms:W3CDTF">2025-04-21T17:39:04Z</dcterms:created>
  <dcterms:modified xsi:type="dcterms:W3CDTF">2025-11-12T23:32:31Z</dcterms:modified>
  <cp:category/>
  <cp:contentStatus/>
</cp:coreProperties>
</file>